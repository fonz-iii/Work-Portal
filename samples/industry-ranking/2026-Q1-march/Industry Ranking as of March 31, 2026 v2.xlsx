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RSP-\2023\Industry Ranking\2026\"/>
    </mc:Choice>
  </mc:AlternateContent>
  <bookViews>
    <workbookView xWindow="0" yWindow="0" windowWidth="20490" windowHeight="7500"/>
  </bookViews>
  <sheets>
    <sheet name="2026 March" sheetId="1" r:id="rId1"/>
    <sheet name="March 2026" sheetId="2" r:id="rId2"/>
    <sheet name="9-2025 vs 3-2026" sheetId="6" r:id="rId3"/>
    <sheet name="3-2025 vs 3-2026" sheetId="5" r:id="rId4"/>
    <sheet name="2025 September" sheetId="3" r:id="rId5"/>
    <sheet name="September 2025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8" i="1" l="1"/>
  <c r="I78" i="1"/>
  <c r="J78" i="1"/>
  <c r="G78" i="1"/>
  <c r="H77" i="1"/>
  <c r="I77" i="1"/>
  <c r="J77" i="1"/>
  <c r="G77" i="1"/>
  <c r="J78" i="3"/>
  <c r="I78" i="3"/>
  <c r="H78" i="3"/>
  <c r="G78" i="3"/>
  <c r="J77" i="3"/>
  <c r="I77" i="3"/>
  <c r="H77" i="3"/>
  <c r="G77" i="3"/>
</calcChain>
</file>

<file path=xl/sharedStrings.xml><?xml version="1.0" encoding="utf-8"?>
<sst xmlns="http://schemas.openxmlformats.org/spreadsheetml/2006/main" count="805" uniqueCount="43">
  <si>
    <t>https://www.bsp.gov.ph/SitePages/Statistics/BSFinancialStatements.aspx?TabId=1</t>
  </si>
  <si>
    <t>Ranking as to Total Deposit Liabilities</t>
  </si>
  <si>
    <t>https://www.bsp.gov.ph/Statistics/Financial%20Statements/Thrift/Deposits.aspx</t>
  </si>
  <si>
    <t>Thrift Bank Group</t>
  </si>
  <si>
    <t>As of 30 September 2025</t>
  </si>
  <si>
    <t>(Amounts in Million Pesos)</t>
  </si>
  <si>
    <t>CHINA BANK SAVINGS</t>
  </si>
  <si>
    <t>PHIL SAVINGS BANK</t>
  </si>
  <si>
    <t>PHIL BUSINESS BANK</t>
  </si>
  <si>
    <t>BDO NETWORK BANK INC</t>
  </si>
  <si>
    <t>CITY SAVINGS BANK</t>
  </si>
  <si>
    <t>STERLING BANK OF ASIA</t>
  </si>
  <si>
    <t>BPI DIRECT BANKO</t>
  </si>
  <si>
    <t>BANK OF MAKATI</t>
  </si>
  <si>
    <t>PRODUCERS SAVINGS BANK</t>
  </si>
  <si>
    <t>FIRST CONSOLIDATED BANK</t>
  </si>
  <si>
    <t>Ranking as to Total Assets</t>
  </si>
  <si>
    <t>https://www.bsp.gov.ph/Statistics/Financial Statements/Thrift/assets.aspx</t>
  </si>
  <si>
    <t>Ranking as to Total Loans and Receivables, net</t>
  </si>
  <si>
    <t>https://www.bsp.gov.ph/Statistics/Financial%20Statements/Thrift/loans.aspx</t>
  </si>
  <si>
    <t>Ranking as to Total Stockholder's Equity</t>
  </si>
  <si>
    <t>https://www.bsp.gov.ph/Statistics/Financial Statements/Thrift/capital.aspx</t>
  </si>
  <si>
    <t>RANK</t>
  </si>
  <si>
    <t>NAME OF BANK</t>
  </si>
  <si>
    <t>TOTAL CAPITAL</t>
  </si>
  <si>
    <t>Year</t>
  </si>
  <si>
    <t>Total Deposit Liabilities</t>
  </si>
  <si>
    <t>Total Assets</t>
  </si>
  <si>
    <t>Total Loans and Receivables</t>
  </si>
  <si>
    <t>Total Capital</t>
  </si>
  <si>
    <t>March 2024</t>
  </si>
  <si>
    <t>March 2025</t>
  </si>
  <si>
    <t>Difference</t>
  </si>
  <si>
    <t>% Change</t>
  </si>
  <si>
    <t>https://www.bsp.gov.ph/Statistics/Financial%20Statements/Thrift/deposit.aspx</t>
  </si>
  <si>
    <t>As of 31 March 2026</t>
  </si>
  <si>
    <t>https://www.bsp.gov.ph/Statistics/Financial%20Statements/Thrift/Equity.aspx</t>
  </si>
  <si>
    <t>March 2026</t>
  </si>
  <si>
    <t>As of 31 March 2025</t>
  </si>
  <si>
    <t>UCPB SAVINGS BANK</t>
  </si>
  <si>
    <t>1st VALLEY BANK</t>
  </si>
  <si>
    <t>CARD SME BANK</t>
  </si>
  <si>
    <t>Sept.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</si>
</sst>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FFFF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0" xfId="1"/>
    <xf numFmtId="0" fontId="0" fillId="0" borderId="0" xfId="0" applyAlignment="1">
      <alignment horizontal="left"/>
    </xf>
    <xf numFmtId="0" fontId="4" fillId="2" borderId="1" xfId="0" applyFont="1" applyFill="1" applyBorder="1"/>
    <xf numFmtId="0" fontId="4" fillId="2" borderId="2" xfId="0" applyFont="1" applyFill="1" applyBorder="1"/>
    <xf numFmtId="0" fontId="6" fillId="0" borderId="2" xfId="0" applyFont="1" applyBorder="1"/>
    <xf numFmtId="0" fontId="7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0" fontId="8" fillId="0" borderId="0" xfId="0" applyFont="1"/>
    <xf numFmtId="3" fontId="9" fillId="0" borderId="0" xfId="0" applyNumberFormat="1" applyFont="1"/>
    <xf numFmtId="0" fontId="7" fillId="0" borderId="0" xfId="0" applyFont="1"/>
    <xf numFmtId="0" fontId="6" fillId="0" borderId="0" xfId="0" applyFont="1" applyAlignment="1">
      <alignment horizontal="center"/>
    </xf>
    <xf numFmtId="3" fontId="6" fillId="0" borderId="0" xfId="0" applyNumberFormat="1" applyFont="1"/>
    <xf numFmtId="3" fontId="8" fillId="0" borderId="0" xfId="0" applyNumberFormat="1" applyFont="1"/>
    <xf numFmtId="0" fontId="4" fillId="2" borderId="1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0" xfId="0" applyBorder="1"/>
    <xf numFmtId="0" fontId="8" fillId="0" borderId="0" xfId="0" applyFont="1" applyAlignment="1">
      <alignment horizontal="center"/>
    </xf>
    <xf numFmtId="0" fontId="0" fillId="0" borderId="0" xfId="0" applyBorder="1" applyAlignment="1">
      <alignment horizontal="left"/>
    </xf>
    <xf numFmtId="3" fontId="7" fillId="0" borderId="0" xfId="0" applyNumberFormat="1" applyFont="1" applyAlignment="1">
      <alignment horizontal="right"/>
    </xf>
    <xf numFmtId="17" fontId="10" fillId="3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3" fontId="0" fillId="0" borderId="0" xfId="0" applyNumberFormat="1"/>
    <xf numFmtId="0" fontId="5" fillId="2" borderId="0" xfId="0" applyFont="1" applyFill="1" applyAlignment="1"/>
    <xf numFmtId="0" fontId="5" fillId="2" borderId="0" xfId="0" applyFont="1" applyFill="1" applyAlignment="1">
      <alignment horizontal="left"/>
    </xf>
    <xf numFmtId="0" fontId="3" fillId="2" borderId="0" xfId="0" applyFont="1" applyFill="1" applyAlignment="1"/>
    <xf numFmtId="0" fontId="3" fillId="0" borderId="0" xfId="0" applyFont="1" applyFill="1" applyBorder="1" applyAlignment="1"/>
    <xf numFmtId="0" fontId="5" fillId="0" borderId="0" xfId="0" applyFont="1" applyFill="1" applyBorder="1" applyAlignment="1"/>
    <xf numFmtId="0" fontId="0" fillId="0" borderId="0" xfId="0" applyFill="1"/>
    <xf numFmtId="0" fontId="7" fillId="5" borderId="0" xfId="0" applyFont="1" applyFill="1"/>
    <xf numFmtId="3" fontId="7" fillId="5" borderId="0" xfId="0" applyNumberFormat="1" applyFont="1" applyFill="1"/>
    <xf numFmtId="3" fontId="6" fillId="5" borderId="0" xfId="0" applyNumberFormat="1" applyFont="1" applyFill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6" fillId="0" borderId="0" xfId="0" applyFont="1" applyFill="1" applyAlignment="1">
      <alignment horizontal="center"/>
    </xf>
    <xf numFmtId="0" fontId="6" fillId="0" borderId="0" xfId="0" applyFont="1" applyFill="1"/>
    <xf numFmtId="3" fontId="6" fillId="0" borderId="0" xfId="0" applyNumberFormat="1" applyFont="1" applyFill="1"/>
    <xf numFmtId="0" fontId="6" fillId="5" borderId="0" xfId="0" applyFont="1" applyFill="1"/>
    <xf numFmtId="0" fontId="3" fillId="0" borderId="0" xfId="0" applyFont="1" applyFill="1" applyAlignment="1"/>
    <xf numFmtId="0" fontId="5" fillId="0" borderId="0" xfId="0" applyFont="1" applyFill="1" applyAlignment="1">
      <alignment horizontal="left"/>
    </xf>
    <xf numFmtId="0" fontId="5" fillId="0" borderId="0" xfId="0" applyFont="1" applyFill="1" applyAlignment="1"/>
    <xf numFmtId="0" fontId="8" fillId="0" borderId="0" xfId="0" applyFont="1" applyAlignment="1"/>
    <xf numFmtId="0" fontId="0" fillId="5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0" fillId="6" borderId="0" xfId="0" applyFill="1"/>
    <xf numFmtId="0" fontId="5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3" fontId="6" fillId="0" borderId="3" xfId="0" applyNumberFormat="1" applyFont="1" applyBorder="1" applyAlignment="1">
      <alignment horizontal="center"/>
    </xf>
    <xf numFmtId="3" fontId="7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E0-4B42-8FF8-3FB52FBB74CC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E0-4B42-8FF8-3FB52FBB74C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E0-4B42-8FF8-3FB52FBB74CC}"/>
              </c:ext>
            </c:extLst>
          </c:dPt>
          <c:dLbls>
            <c:dLbl>
              <c:idx val="0"/>
              <c:layout>
                <c:manualLayout>
                  <c:x val="0"/>
                  <c:y val="4.62389358782466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F2E0-4B42-8FF8-3FB52FBB74C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2E0-4B42-8FF8-3FB52FBB74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 March'!$C$39:$C$48</c:f>
              <c:strCache>
                <c:ptCount val="10"/>
                <c:pt idx="0">
                  <c:v>PHIL SAVINGS BANK</c:v>
                </c:pt>
                <c:pt idx="1">
                  <c:v>CHINA BANK SAVINGS</c:v>
                </c:pt>
                <c:pt idx="2">
                  <c:v>BDO NETWORK BANK INC</c:v>
                </c:pt>
                <c:pt idx="3">
                  <c:v>PHIL BUSINESS BANK</c:v>
                </c:pt>
                <c:pt idx="4">
                  <c:v>CITY SAVINGS BANK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'2026 March'!$D$39:$D$48</c:f>
              <c:numCache>
                <c:formatCode>#,##0</c:formatCode>
                <c:ptCount val="10"/>
                <c:pt idx="0">
                  <c:v>159342.78</c:v>
                </c:pt>
                <c:pt idx="1">
                  <c:v>154470.63</c:v>
                </c:pt>
                <c:pt idx="2">
                  <c:v>126959.29</c:v>
                </c:pt>
                <c:pt idx="3">
                  <c:v>124407.09</c:v>
                </c:pt>
                <c:pt idx="4">
                  <c:v>116198.95</c:v>
                </c:pt>
                <c:pt idx="5">
                  <c:v>61160.59</c:v>
                </c:pt>
                <c:pt idx="6">
                  <c:v>44631.69</c:v>
                </c:pt>
                <c:pt idx="7">
                  <c:v>42741.19</c:v>
                </c:pt>
                <c:pt idx="8">
                  <c:v>34363.25</c:v>
                </c:pt>
                <c:pt idx="9">
                  <c:v>21151.35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2E0-4B42-8FF8-3FB52FBB7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727760"/>
        <c:axId val="486728152"/>
      </c:barChart>
      <c:catAx>
        <c:axId val="4867277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8152"/>
        <c:crosses val="autoZero"/>
        <c:auto val="0"/>
        <c:lblAlgn val="ctr"/>
        <c:lblOffset val="100"/>
        <c:noMultiLvlLbl val="0"/>
      </c:catAx>
      <c:valAx>
        <c:axId val="48672815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672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55914415634955"/>
          <c:y val="5.2501467560707407E-2"/>
          <c:w val="0.5661106552949805"/>
          <c:h val="0.89499706487858521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C0-437F-A740-1B3E4B65FD05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C0-437F-A740-1B3E4B65FD05}"/>
              </c:ext>
            </c:extLst>
          </c:dPt>
          <c:dLbls>
            <c:dLbl>
              <c:idx val="0"/>
              <c:layout>
                <c:manualLayout>
                  <c:x val="0.31705949468526151"/>
                  <c:y val="9.179949638916709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325685273349575"/>
                      <c:h val="8.58400873696576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B3C0-437F-A740-1B3E4B65FD05}"/>
                </c:ext>
              </c:extLst>
            </c:dLbl>
            <c:dLbl>
              <c:idx val="1"/>
              <c:layout>
                <c:manualLayout>
                  <c:x val="0.2608200515900192"/>
                  <c:y val="8.1096752480546913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3C0-437F-A740-1B3E4B65FD05}"/>
                </c:ext>
              </c:extLst>
            </c:dLbl>
            <c:dLbl>
              <c:idx val="2"/>
              <c:layout>
                <c:manualLayout>
                  <c:x val="0.22504283997329458"/>
                  <c:y val="5.15045475003953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B3C0-437F-A740-1B3E4B65FD05}"/>
                </c:ext>
              </c:extLst>
            </c:dLbl>
            <c:dLbl>
              <c:idx val="3"/>
              <c:layout>
                <c:manualLayout>
                  <c:x val="0.21065102526308882"/>
                  <c:y val="9.16920431921308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B3C0-437F-A740-1B3E4B65FD05}"/>
                </c:ext>
              </c:extLst>
            </c:dLbl>
            <c:dLbl>
              <c:idx val="4"/>
              <c:layout>
                <c:manualLayout>
                  <c:x val="9.3201006124234417E-2"/>
                  <c:y val="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3C0-437F-A740-1B3E4B65FD05}"/>
                </c:ext>
              </c:extLst>
            </c:dLbl>
            <c:dLbl>
              <c:idx val="5"/>
              <c:layout>
                <c:manualLayout>
                  <c:x val="9.1286914367512975E-2"/>
                  <c:y val="3.7581580215252258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3C0-437F-A740-1B3E4B65FD05}"/>
                </c:ext>
              </c:extLst>
            </c:dLbl>
            <c:dLbl>
              <c:idx val="6"/>
              <c:layout>
                <c:manualLayout>
                  <c:x val="9.3782717509062016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B3C0-437F-A740-1B3E4B65FD05}"/>
                </c:ext>
              </c:extLst>
            </c:dLbl>
            <c:dLbl>
              <c:idx val="7"/>
              <c:layout>
                <c:manualLayout>
                  <c:x val="7.3959973753280783E-2"/>
                  <c:y val="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B3C0-437F-A740-1B3E4B65FD05}"/>
                </c:ext>
              </c:extLst>
            </c:dLbl>
            <c:dLbl>
              <c:idx val="8"/>
              <c:layout>
                <c:manualLayout>
                  <c:x val="7.2187007874015691E-2"/>
                  <c:y val="9.259623797025372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B3C0-437F-A740-1B3E4B65FD05}"/>
                </c:ext>
              </c:extLst>
            </c:dLbl>
            <c:dLbl>
              <c:idx val="9"/>
              <c:layout>
                <c:manualLayout>
                  <c:x val="7.7479440069991204E-2"/>
                  <c:y val="4.62962962962979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B3C0-437F-A740-1B3E4B65FD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'2026 March'!$C$22:$C$31</c:f>
              <c:strCache>
                <c:ptCount val="10"/>
                <c:pt idx="0">
                  <c:v>PHIL SAVINGS BANK</c:v>
                </c:pt>
                <c:pt idx="1">
                  <c:v>CHINA BANK SAVINGS</c:v>
                </c:pt>
                <c:pt idx="2">
                  <c:v>CITY SAVINGS BANK</c:v>
                </c:pt>
                <c:pt idx="3">
                  <c:v>PHIL BUSINESS BANK</c:v>
                </c:pt>
                <c:pt idx="4">
                  <c:v>BDO NETWORK BANK INC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'2026 March'!$D$22:$D$31</c:f>
              <c:numCache>
                <c:formatCode>#,##0</c:formatCode>
                <c:ptCount val="10"/>
                <c:pt idx="0">
                  <c:v>232588.73</c:v>
                </c:pt>
                <c:pt idx="1">
                  <c:v>217536.44</c:v>
                </c:pt>
                <c:pt idx="2">
                  <c:v>171953.32</c:v>
                </c:pt>
                <c:pt idx="3">
                  <c:v>164973.21</c:v>
                </c:pt>
                <c:pt idx="4">
                  <c:v>159509.10999999999</c:v>
                </c:pt>
                <c:pt idx="5">
                  <c:v>75573.179999999993</c:v>
                </c:pt>
                <c:pt idx="6">
                  <c:v>67616.02</c:v>
                </c:pt>
                <c:pt idx="7">
                  <c:v>60825.53</c:v>
                </c:pt>
                <c:pt idx="8">
                  <c:v>46913.16</c:v>
                </c:pt>
                <c:pt idx="9">
                  <c:v>32864.5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3C0-437F-A740-1B3E4B65F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738344"/>
        <c:axId val="486737168"/>
      </c:barChart>
      <c:catAx>
        <c:axId val="4867383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37168"/>
        <c:crosses val="autoZero"/>
        <c:auto val="1"/>
        <c:lblAlgn val="ctr"/>
        <c:lblOffset val="100"/>
        <c:noMultiLvlLbl val="0"/>
      </c:catAx>
      <c:valAx>
        <c:axId val="486737168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6738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13-4E91-9A05-BD75BBD3636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13-4E91-9A05-BD75BBD3636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13-4E91-9A05-BD75BBD36362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113-4E91-9A05-BD75BBD363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 March'!$C$7:$C$16</c:f>
              <c:strCache>
                <c:ptCount val="10"/>
                <c:pt idx="0">
                  <c:v>CHINA BANK SAVINGS</c:v>
                </c:pt>
                <c:pt idx="1">
                  <c:v>PHIL SAVINGS BANK</c:v>
                </c:pt>
                <c:pt idx="2">
                  <c:v>PHIL BUSINESS BANK</c:v>
                </c:pt>
                <c:pt idx="3">
                  <c:v>BDO NETWORK BANK INC</c:v>
                </c:pt>
                <c:pt idx="4">
                  <c:v>CITY SAVINGS BANK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'2026 March'!$D$7:$D$16</c:f>
              <c:numCache>
                <c:formatCode>#,##0</c:formatCode>
                <c:ptCount val="10"/>
                <c:pt idx="0">
                  <c:v>191444.7</c:v>
                </c:pt>
                <c:pt idx="1">
                  <c:v>177200.83</c:v>
                </c:pt>
                <c:pt idx="2">
                  <c:v>134200.91</c:v>
                </c:pt>
                <c:pt idx="3">
                  <c:v>113725.37</c:v>
                </c:pt>
                <c:pt idx="4">
                  <c:v>107207.15</c:v>
                </c:pt>
                <c:pt idx="5">
                  <c:v>67035.22</c:v>
                </c:pt>
                <c:pt idx="6">
                  <c:v>50737.04</c:v>
                </c:pt>
                <c:pt idx="7">
                  <c:v>39097.449999999997</c:v>
                </c:pt>
                <c:pt idx="8">
                  <c:v>27872.93</c:v>
                </c:pt>
                <c:pt idx="9">
                  <c:v>22922.720000000001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13-4E91-9A05-BD75BBD36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739912"/>
        <c:axId val="486739520"/>
      </c:barChart>
      <c:catAx>
        <c:axId val="4867399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39520"/>
        <c:crosses val="autoZero"/>
        <c:auto val="1"/>
        <c:lblAlgn val="ctr"/>
        <c:lblOffset val="100"/>
        <c:noMultiLvlLbl val="0"/>
      </c:catAx>
      <c:valAx>
        <c:axId val="48673952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673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E984-49F9-BBE5-0618D05E6E45}"/>
              </c:ext>
            </c:extLst>
          </c:dPt>
          <c:dLbls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E984-49F9-BBE5-0618D05E6E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 March'!$C$57:$C$66</c:f>
              <c:strCache>
                <c:ptCount val="10"/>
                <c:pt idx="0">
                  <c:v>PHIL SAVINGS BANK</c:v>
                </c:pt>
                <c:pt idx="1">
                  <c:v>CITY SAVINGS BANK</c:v>
                </c:pt>
                <c:pt idx="2">
                  <c:v>CHINA BANK SAVINGS</c:v>
                </c:pt>
                <c:pt idx="3">
                  <c:v>PHIL BUSINESS BANK</c:v>
                </c:pt>
                <c:pt idx="4">
                  <c:v>BDO NETWORK BANK INC</c:v>
                </c:pt>
                <c:pt idx="5">
                  <c:v>BANK OF MAKATI</c:v>
                </c:pt>
                <c:pt idx="6">
                  <c:v>BPI DIRECT BANKO</c:v>
                </c:pt>
                <c:pt idx="7">
                  <c:v>FIRST CONSOLIDATED BANK</c:v>
                </c:pt>
                <c:pt idx="8">
                  <c:v>PRODUCERS SAVINGS BANK</c:v>
                </c:pt>
                <c:pt idx="9">
                  <c:v>STERLING BANK OF ASIA</c:v>
                </c:pt>
              </c:strCache>
            </c:strRef>
          </c:cat>
          <c:val>
            <c:numRef>
              <c:f>'2026 March'!$D$57:$D$66</c:f>
              <c:numCache>
                <c:formatCode>#,##0</c:formatCode>
                <c:ptCount val="10"/>
                <c:pt idx="0">
                  <c:v>44269</c:v>
                </c:pt>
                <c:pt idx="1">
                  <c:v>22377.7</c:v>
                </c:pt>
                <c:pt idx="2">
                  <c:v>21832.33</c:v>
                </c:pt>
                <c:pt idx="3">
                  <c:v>21088.560000000001</c:v>
                </c:pt>
                <c:pt idx="4">
                  <c:v>19984.830000000002</c:v>
                </c:pt>
                <c:pt idx="5">
                  <c:v>18736.310000000001</c:v>
                </c:pt>
                <c:pt idx="6">
                  <c:v>11853.33</c:v>
                </c:pt>
                <c:pt idx="7">
                  <c:v>8646.9500000000007</c:v>
                </c:pt>
                <c:pt idx="8">
                  <c:v>8420.7900000000009</c:v>
                </c:pt>
                <c:pt idx="9">
                  <c:v>5696.59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84-49F9-BBE5-0618D05E6E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6739128"/>
        <c:axId val="486740304"/>
      </c:barChart>
      <c:catAx>
        <c:axId val="4867391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40304"/>
        <c:crosses val="autoZero"/>
        <c:auto val="1"/>
        <c:lblAlgn val="ctr"/>
        <c:lblOffset val="100"/>
        <c:noMultiLvlLbl val="0"/>
      </c:catAx>
      <c:valAx>
        <c:axId val="48674030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6739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D1-486D-9389-FD453864C95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D1-486D-9389-FD453864C95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D1-486D-9389-FD453864C95D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CD1-486D-9389-FD453864C9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'March 2026'!$C$28:$C$32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'March 2026'!$D$28:$D$32</c:f>
              <c:numCache>
                <c:formatCode>#,##0</c:formatCode>
                <c:ptCount val="5"/>
                <c:pt idx="0">
                  <c:v>124407.09</c:v>
                </c:pt>
                <c:pt idx="1">
                  <c:v>61160.59</c:v>
                </c:pt>
                <c:pt idx="2">
                  <c:v>42631.69</c:v>
                </c:pt>
                <c:pt idx="3">
                  <c:v>34363.25</c:v>
                </c:pt>
                <c:pt idx="4">
                  <c:v>21151.35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D1-486D-9389-FD453864C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736776"/>
        <c:axId val="486730896"/>
      </c:barChart>
      <c:catAx>
        <c:axId val="486736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30896"/>
        <c:crosses val="autoZero"/>
        <c:auto val="0"/>
        <c:lblAlgn val="ctr"/>
        <c:lblOffset val="100"/>
        <c:noMultiLvlLbl val="0"/>
      </c:catAx>
      <c:valAx>
        <c:axId val="48673089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6736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55914415634955"/>
          <c:y val="5.2501467560707407E-2"/>
          <c:w val="0.62988290219769438"/>
          <c:h val="0.89499706487858521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7D-471D-938D-49CC0B1A152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7D-471D-938D-49CC0B1A1527}"/>
              </c:ext>
            </c:extLst>
          </c:dPt>
          <c:dLbls>
            <c:dLbl>
              <c:idx val="0"/>
              <c:layout>
                <c:manualLayout>
                  <c:x val="0.34445483835264251"/>
                  <c:y val="1.2112205045273024E-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C7D-471D-938D-49CC0B1A1527}"/>
                </c:ext>
              </c:extLst>
            </c:dLbl>
            <c:dLbl>
              <c:idx val="1"/>
              <c:layout>
                <c:manualLayout>
                  <c:x val="0.17291629746904955"/>
                  <c:y val="6.0561025225483833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C7D-471D-938D-49CC0B1A1527}"/>
                </c:ext>
              </c:extLst>
            </c:dLbl>
            <c:dLbl>
              <c:idx val="3"/>
              <c:layout>
                <c:manualLayout>
                  <c:x val="0.11254440571196749"/>
                  <c:y val="1.2112205045096767E-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C7D-471D-938D-49CC0B1A1527}"/>
                </c:ext>
              </c:extLst>
            </c:dLbl>
            <c:dLbl>
              <c:idx val="4"/>
              <c:layout>
                <c:manualLayout>
                  <c:x val="0.10584601891114757"/>
                  <c:y val="6.0561025239584295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C7D-471D-938D-49CC0B1A15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'March 2026'!$C$17:$C$21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'March 2026'!$D$17:$D$21</c:f>
              <c:numCache>
                <c:formatCode>#,##0</c:formatCode>
                <c:ptCount val="5"/>
                <c:pt idx="0">
                  <c:v>164973.21</c:v>
                </c:pt>
                <c:pt idx="1">
                  <c:v>75573.179999999993</c:v>
                </c:pt>
                <c:pt idx="2">
                  <c:v>60825.53</c:v>
                </c:pt>
                <c:pt idx="3">
                  <c:v>46913.16</c:v>
                </c:pt>
                <c:pt idx="4">
                  <c:v>32864.5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7D-471D-938D-49CC0B1A1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848464"/>
        <c:axId val="144853168"/>
      </c:barChart>
      <c:catAx>
        <c:axId val="1448484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3168"/>
        <c:crosses val="autoZero"/>
        <c:auto val="1"/>
        <c:lblAlgn val="ctr"/>
        <c:lblOffset val="100"/>
        <c:noMultiLvlLbl val="0"/>
      </c:catAx>
      <c:valAx>
        <c:axId val="144853168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4484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92-40B9-9D91-94E65C2EE10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92-40B9-9D91-94E65C2EE101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E92-40B9-9D91-94E65C2EE1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'March 2026'!$C$7:$C$11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'March 2026'!$D$7:$D$11</c:f>
              <c:numCache>
                <c:formatCode>#,##0</c:formatCode>
                <c:ptCount val="5"/>
                <c:pt idx="0">
                  <c:v>134200.91</c:v>
                </c:pt>
                <c:pt idx="1">
                  <c:v>67035.22</c:v>
                </c:pt>
                <c:pt idx="2">
                  <c:v>39097.449999999997</c:v>
                </c:pt>
                <c:pt idx="3">
                  <c:v>27872.93</c:v>
                </c:pt>
                <c:pt idx="4">
                  <c:v>22922.720000000001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92-40B9-9D91-94E65C2EE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847288"/>
        <c:axId val="144847680"/>
      </c:barChart>
      <c:catAx>
        <c:axId val="144847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47680"/>
        <c:crosses val="autoZero"/>
        <c:auto val="1"/>
        <c:lblAlgn val="ctr"/>
        <c:lblOffset val="100"/>
        <c:noMultiLvlLbl val="0"/>
      </c:catAx>
      <c:valAx>
        <c:axId val="1448476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44847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B02-4F48-A1B4-6B3103E5DD0D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BB02-4F48-A1B4-6B3103E5D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'March 2026'!$C$41:$C$45</c:f>
              <c:strCache>
                <c:ptCount val="5"/>
                <c:pt idx="0">
                  <c:v>PHIL BUSINESS BANK</c:v>
                </c:pt>
                <c:pt idx="1">
                  <c:v>BANK OF MAKATI</c:v>
                </c:pt>
                <c:pt idx="2">
                  <c:v>FIRST CONSOLIDATED BANK</c:v>
                </c:pt>
                <c:pt idx="3">
                  <c:v>PRODUCERS SAVINGS BANK</c:v>
                </c:pt>
                <c:pt idx="4">
                  <c:v>STERLING BANK OF ASIA</c:v>
                </c:pt>
              </c:strCache>
            </c:strRef>
          </c:cat>
          <c:val>
            <c:numRef>
              <c:f>'March 2026'!$D$41:$D$45</c:f>
              <c:numCache>
                <c:formatCode>#,##0</c:formatCode>
                <c:ptCount val="5"/>
                <c:pt idx="0">
                  <c:v>21088.560000000001</c:v>
                </c:pt>
                <c:pt idx="1">
                  <c:v>18736.310000000001</c:v>
                </c:pt>
                <c:pt idx="2">
                  <c:v>8646.9500000000007</c:v>
                </c:pt>
                <c:pt idx="3">
                  <c:v>8420.7900000000009</c:v>
                </c:pt>
                <c:pt idx="4">
                  <c:v>5696.59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02-4F48-A1B4-6B3103E5DD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4848856"/>
        <c:axId val="106024032"/>
      </c:barChart>
      <c:catAx>
        <c:axId val="1448488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4032"/>
        <c:crosses val="autoZero"/>
        <c:auto val="1"/>
        <c:lblAlgn val="ctr"/>
        <c:lblOffset val="100"/>
        <c:noMultiLvlLbl val="0"/>
      </c:catAx>
      <c:valAx>
        <c:axId val="10602403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44848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3-2026'!$I$23:$I$32</c:f>
              <c:strCache>
                <c:ptCount val="10"/>
                <c:pt idx="0">
                  <c:v>PHIL SAVINGS BANK</c:v>
                </c:pt>
                <c:pt idx="1">
                  <c:v>CHINA BANK SAVINGS</c:v>
                </c:pt>
                <c:pt idx="2">
                  <c:v>CITY SAVINGS BANK</c:v>
                </c:pt>
                <c:pt idx="3">
                  <c:v>PHIL BUSINESS BANK</c:v>
                </c:pt>
                <c:pt idx="4">
                  <c:v>BDO NETWORK BANK INC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'9-2025 vs 3-2026'!$J$23:$J$32</c:f>
              <c:numCache>
                <c:formatCode>#,##0</c:formatCode>
                <c:ptCount val="10"/>
                <c:pt idx="0">
                  <c:v>220919.27</c:v>
                </c:pt>
                <c:pt idx="1">
                  <c:v>212063.44</c:v>
                </c:pt>
                <c:pt idx="2">
                  <c:v>167867.51</c:v>
                </c:pt>
                <c:pt idx="3">
                  <c:v>164937.5</c:v>
                </c:pt>
                <c:pt idx="4">
                  <c:v>144360.10999999999</c:v>
                </c:pt>
                <c:pt idx="5">
                  <c:v>67468.97</c:v>
                </c:pt>
                <c:pt idx="6">
                  <c:v>59123.29</c:v>
                </c:pt>
                <c:pt idx="7">
                  <c:v>57466.75</c:v>
                </c:pt>
                <c:pt idx="8">
                  <c:v>42366.84</c:v>
                </c:pt>
                <c:pt idx="9">
                  <c:v>30453.37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3-476B-9691-ACBA9F29F7CA}"/>
            </c:ext>
          </c:extLst>
        </c:ser>
        <c:ser>
          <c:idx val="1"/>
          <c:order val="1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3-2026'!$I$23:$I$32</c:f>
              <c:strCache>
                <c:ptCount val="10"/>
                <c:pt idx="0">
                  <c:v>PHIL SAVINGS BANK</c:v>
                </c:pt>
                <c:pt idx="1">
                  <c:v>CHINA BANK SAVINGS</c:v>
                </c:pt>
                <c:pt idx="2">
                  <c:v>CITY SAVINGS BANK</c:v>
                </c:pt>
                <c:pt idx="3">
                  <c:v>PHIL BUSINESS BANK</c:v>
                </c:pt>
                <c:pt idx="4">
                  <c:v>BDO NETWORK BANK INC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'9-2025 vs 3-2026'!$M$23:$M$32</c:f>
              <c:numCache>
                <c:formatCode>#,##0</c:formatCode>
                <c:ptCount val="10"/>
                <c:pt idx="0">
                  <c:v>232588.73</c:v>
                </c:pt>
                <c:pt idx="1">
                  <c:v>217536.44</c:v>
                </c:pt>
                <c:pt idx="2">
                  <c:v>171953.32</c:v>
                </c:pt>
                <c:pt idx="3">
                  <c:v>164973.21</c:v>
                </c:pt>
                <c:pt idx="4">
                  <c:v>159509.10999999999</c:v>
                </c:pt>
                <c:pt idx="5">
                  <c:v>75573.179999999993</c:v>
                </c:pt>
                <c:pt idx="6">
                  <c:v>67616.02</c:v>
                </c:pt>
                <c:pt idx="7">
                  <c:v>60825.53</c:v>
                </c:pt>
                <c:pt idx="8">
                  <c:v>46913.16</c:v>
                </c:pt>
                <c:pt idx="9">
                  <c:v>32864.5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3-476B-9691-ACBA9F29F7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570176"/>
        <c:axId val="1861573504"/>
        <c:axId val="0"/>
      </c:bar3DChart>
      <c:catAx>
        <c:axId val="18615701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73504"/>
        <c:crosses val="autoZero"/>
        <c:auto val="1"/>
        <c:lblAlgn val="ctr"/>
        <c:lblOffset val="100"/>
        <c:noMultiLvlLbl val="0"/>
      </c:catAx>
      <c:valAx>
        <c:axId val="18615735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57017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1"/>
          <c:order val="0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3-2026'!$I$8:$I$17</c:f>
              <c:strCache>
                <c:ptCount val="10"/>
                <c:pt idx="0">
                  <c:v>CHINA BANK SAVINGS</c:v>
                </c:pt>
                <c:pt idx="1">
                  <c:v>PHIL SAVINGS BANK</c:v>
                </c:pt>
                <c:pt idx="2">
                  <c:v>PHIL BUSINESS BANK</c:v>
                </c:pt>
                <c:pt idx="3">
                  <c:v>BDO NETWORK BANK INC</c:v>
                </c:pt>
                <c:pt idx="4">
                  <c:v>CITY SAVINGS BANK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'9-2025 vs 3-2026'!$M$8:$M$17</c:f>
              <c:numCache>
                <c:formatCode>#,##0</c:formatCode>
                <c:ptCount val="10"/>
                <c:pt idx="0">
                  <c:v>191444.7</c:v>
                </c:pt>
                <c:pt idx="1">
                  <c:v>177200.83</c:v>
                </c:pt>
                <c:pt idx="2">
                  <c:v>134200.91</c:v>
                </c:pt>
                <c:pt idx="3">
                  <c:v>113725.37</c:v>
                </c:pt>
                <c:pt idx="4">
                  <c:v>107207.15</c:v>
                </c:pt>
                <c:pt idx="5">
                  <c:v>67035.22</c:v>
                </c:pt>
                <c:pt idx="6">
                  <c:v>50737.04</c:v>
                </c:pt>
                <c:pt idx="7">
                  <c:v>39097.449999999997</c:v>
                </c:pt>
                <c:pt idx="8">
                  <c:v>27872.93</c:v>
                </c:pt>
                <c:pt idx="9">
                  <c:v>22922.720000000001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84-48DE-9784-C69A794BC601}"/>
            </c:ext>
          </c:extLst>
        </c:ser>
        <c:ser>
          <c:idx val="0"/>
          <c:order val="1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3-2026'!$I$8:$I$17</c:f>
              <c:strCache>
                <c:ptCount val="10"/>
                <c:pt idx="0">
                  <c:v>CHINA BANK SAVINGS</c:v>
                </c:pt>
                <c:pt idx="1">
                  <c:v>PHIL SAVINGS BANK</c:v>
                </c:pt>
                <c:pt idx="2">
                  <c:v>PHIL BUSINESS BANK</c:v>
                </c:pt>
                <c:pt idx="3">
                  <c:v>BDO NETWORK BANK INC</c:v>
                </c:pt>
                <c:pt idx="4">
                  <c:v>CITY SAVINGS BANK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'9-2025 vs 3-2026'!$J$8:$J$17</c:f>
              <c:numCache>
                <c:formatCode>#,##0</c:formatCode>
                <c:ptCount val="10"/>
                <c:pt idx="0">
                  <c:v>186286.49</c:v>
                </c:pt>
                <c:pt idx="1">
                  <c:v>163651.54999999999</c:v>
                </c:pt>
                <c:pt idx="2">
                  <c:v>136356.04</c:v>
                </c:pt>
                <c:pt idx="3">
                  <c:v>106674.06</c:v>
                </c:pt>
                <c:pt idx="4">
                  <c:v>105228.99</c:v>
                </c:pt>
                <c:pt idx="5">
                  <c:v>59083.54</c:v>
                </c:pt>
                <c:pt idx="6">
                  <c:v>44629.22</c:v>
                </c:pt>
                <c:pt idx="7">
                  <c:v>37552.269999999997</c:v>
                </c:pt>
                <c:pt idx="8">
                  <c:v>26163.11</c:v>
                </c:pt>
                <c:pt idx="9">
                  <c:v>20926.21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4-48DE-9784-C69A794BC6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576000"/>
        <c:axId val="1861576416"/>
        <c:axId val="0"/>
      </c:bar3DChart>
      <c:catAx>
        <c:axId val="1861576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76416"/>
        <c:crosses val="autoZero"/>
        <c:auto val="1"/>
        <c:lblAlgn val="ctr"/>
        <c:lblOffset val="100"/>
        <c:noMultiLvlLbl val="0"/>
      </c:catAx>
      <c:valAx>
        <c:axId val="186157641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57600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1"/>
          <c:order val="0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3-2026'!$I$40:$I$49</c:f>
              <c:strCache>
                <c:ptCount val="10"/>
                <c:pt idx="0">
                  <c:v>PHIL SAVINGS BANK</c:v>
                </c:pt>
                <c:pt idx="1">
                  <c:v>CHINA BANK SAVINGS</c:v>
                </c:pt>
                <c:pt idx="2">
                  <c:v>CITY SAVINGS BANK</c:v>
                </c:pt>
                <c:pt idx="3">
                  <c:v>PHIL BUSINESS BANK</c:v>
                </c:pt>
                <c:pt idx="4">
                  <c:v>BDO NETWORK BANK INC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'9-2025 vs 3-2026'!$M$40:$M$49</c:f>
              <c:numCache>
                <c:formatCode>#,##0</c:formatCode>
                <c:ptCount val="10"/>
                <c:pt idx="0">
                  <c:v>159342.78</c:v>
                </c:pt>
                <c:pt idx="1">
                  <c:v>154470.63</c:v>
                </c:pt>
                <c:pt idx="2">
                  <c:v>116198.95</c:v>
                </c:pt>
                <c:pt idx="3">
                  <c:v>124407.09</c:v>
                </c:pt>
                <c:pt idx="4">
                  <c:v>126959.29</c:v>
                </c:pt>
                <c:pt idx="5">
                  <c:v>61160.59</c:v>
                </c:pt>
                <c:pt idx="6">
                  <c:v>44631.69</c:v>
                </c:pt>
                <c:pt idx="7">
                  <c:v>42741.19</c:v>
                </c:pt>
                <c:pt idx="8">
                  <c:v>34363.25</c:v>
                </c:pt>
                <c:pt idx="9">
                  <c:v>21151.35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A1-46B4-8563-5AC02E52373A}"/>
            </c:ext>
          </c:extLst>
        </c:ser>
        <c:ser>
          <c:idx val="0"/>
          <c:order val="1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3-2026'!$I$40:$I$49</c:f>
              <c:strCache>
                <c:ptCount val="10"/>
                <c:pt idx="0">
                  <c:v>PHIL SAVINGS BANK</c:v>
                </c:pt>
                <c:pt idx="1">
                  <c:v>CHINA BANK SAVINGS</c:v>
                </c:pt>
                <c:pt idx="2">
                  <c:v>CITY SAVINGS BANK</c:v>
                </c:pt>
                <c:pt idx="3">
                  <c:v>PHIL BUSINESS BANK</c:v>
                </c:pt>
                <c:pt idx="4">
                  <c:v>BDO NETWORK BANK INC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'9-2025 vs 3-2026'!$J$40:$J$49</c:f>
              <c:numCache>
                <c:formatCode>#,##0</c:formatCode>
                <c:ptCount val="10"/>
                <c:pt idx="0">
                  <c:v>154492.91</c:v>
                </c:pt>
                <c:pt idx="1">
                  <c:v>152502.18</c:v>
                </c:pt>
                <c:pt idx="2">
                  <c:v>123115.35</c:v>
                </c:pt>
                <c:pt idx="3">
                  <c:v>119996.33</c:v>
                </c:pt>
                <c:pt idx="4">
                  <c:v>116002.3</c:v>
                </c:pt>
                <c:pt idx="5">
                  <c:v>52933.17</c:v>
                </c:pt>
                <c:pt idx="6">
                  <c:v>41283.65</c:v>
                </c:pt>
                <c:pt idx="7">
                  <c:v>39041.57</c:v>
                </c:pt>
                <c:pt idx="8">
                  <c:v>32159.4</c:v>
                </c:pt>
                <c:pt idx="9">
                  <c:v>20193.04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1-46B4-8563-5AC02E5237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566432"/>
        <c:axId val="1861556032"/>
        <c:axId val="0"/>
      </c:bar3DChart>
      <c:catAx>
        <c:axId val="1861566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56032"/>
        <c:crosses val="autoZero"/>
        <c:auto val="1"/>
        <c:lblAlgn val="ctr"/>
        <c:lblOffset val="100"/>
        <c:noMultiLvlLbl val="0"/>
      </c:catAx>
      <c:valAx>
        <c:axId val="18615560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56643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1"/>
          <c:order val="0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3-2026'!$I$58:$I$67</c:f>
              <c:strCache>
                <c:ptCount val="10"/>
                <c:pt idx="0">
                  <c:v>PHIL SAVINGS BANK</c:v>
                </c:pt>
                <c:pt idx="1">
                  <c:v>CITY SAVINGS BANK</c:v>
                </c:pt>
                <c:pt idx="2">
                  <c:v>PHIL BUSINESS BANK</c:v>
                </c:pt>
                <c:pt idx="3">
                  <c:v>CHINA BANK SAVINGS</c:v>
                </c:pt>
                <c:pt idx="4">
                  <c:v>BDO NETWORK BANK INC</c:v>
                </c:pt>
                <c:pt idx="5">
                  <c:v>BANK OF MAKATI</c:v>
                </c:pt>
                <c:pt idx="6">
                  <c:v>BPI DIRECT BANKO</c:v>
                </c:pt>
                <c:pt idx="7">
                  <c:v>FIRST CONSOLIDATED BANK</c:v>
                </c:pt>
                <c:pt idx="8">
                  <c:v>PRODUCERS SAVINGS BANK</c:v>
                </c:pt>
                <c:pt idx="9">
                  <c:v>STERLING BANK OF ASIA</c:v>
                </c:pt>
              </c:strCache>
            </c:strRef>
          </c:cat>
          <c:val>
            <c:numRef>
              <c:f>'9-2025 vs 3-2026'!$M$58:$M$67</c:f>
              <c:numCache>
                <c:formatCode>#,##0</c:formatCode>
                <c:ptCount val="10"/>
                <c:pt idx="0">
                  <c:v>44269</c:v>
                </c:pt>
                <c:pt idx="1">
                  <c:v>22377.7</c:v>
                </c:pt>
                <c:pt idx="2">
                  <c:v>21088.560000000001</c:v>
                </c:pt>
                <c:pt idx="3">
                  <c:v>21832.33</c:v>
                </c:pt>
                <c:pt idx="4">
                  <c:v>19984.830000000002</c:v>
                </c:pt>
                <c:pt idx="5">
                  <c:v>18736.310000000001</c:v>
                </c:pt>
                <c:pt idx="6">
                  <c:v>11853.33</c:v>
                </c:pt>
                <c:pt idx="7">
                  <c:v>8646.9500000000007</c:v>
                </c:pt>
                <c:pt idx="8">
                  <c:v>8420.7900000000009</c:v>
                </c:pt>
                <c:pt idx="9">
                  <c:v>5696.59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E-4512-93DC-BE4E64EB3843}"/>
            </c:ext>
          </c:extLst>
        </c:ser>
        <c:ser>
          <c:idx val="0"/>
          <c:order val="1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3-2026'!$I$58:$I$67</c:f>
              <c:strCache>
                <c:ptCount val="10"/>
                <c:pt idx="0">
                  <c:v>PHIL SAVINGS BANK</c:v>
                </c:pt>
                <c:pt idx="1">
                  <c:v>CITY SAVINGS BANK</c:v>
                </c:pt>
                <c:pt idx="2">
                  <c:v>PHIL BUSINESS BANK</c:v>
                </c:pt>
                <c:pt idx="3">
                  <c:v>CHINA BANK SAVINGS</c:v>
                </c:pt>
                <c:pt idx="4">
                  <c:v>BDO NETWORK BANK INC</c:v>
                </c:pt>
                <c:pt idx="5">
                  <c:v>BANK OF MAKATI</c:v>
                </c:pt>
                <c:pt idx="6">
                  <c:v>BPI DIRECT BANKO</c:v>
                </c:pt>
                <c:pt idx="7">
                  <c:v>FIRST CONSOLIDATED BANK</c:v>
                </c:pt>
                <c:pt idx="8">
                  <c:v>PRODUCERS SAVINGS BANK</c:v>
                </c:pt>
                <c:pt idx="9">
                  <c:v>STERLING BANK OF ASIA</c:v>
                </c:pt>
              </c:strCache>
            </c:strRef>
          </c:cat>
          <c:val>
            <c:numRef>
              <c:f>'9-2025 vs 3-2026'!$J$58:$J$67</c:f>
              <c:numCache>
                <c:formatCode>#,##0</c:formatCode>
                <c:ptCount val="10"/>
                <c:pt idx="0">
                  <c:v>44729.74</c:v>
                </c:pt>
                <c:pt idx="1">
                  <c:v>21316.81</c:v>
                </c:pt>
                <c:pt idx="2">
                  <c:v>20794.189999999999</c:v>
                </c:pt>
                <c:pt idx="3">
                  <c:v>21095.84</c:v>
                </c:pt>
                <c:pt idx="4">
                  <c:v>17901.400000000001</c:v>
                </c:pt>
                <c:pt idx="5">
                  <c:v>16959.18</c:v>
                </c:pt>
                <c:pt idx="6">
                  <c:v>10342.33</c:v>
                </c:pt>
                <c:pt idx="7">
                  <c:v>8173.57</c:v>
                </c:pt>
                <c:pt idx="8">
                  <c:v>7563.36</c:v>
                </c:pt>
                <c:pt idx="9">
                  <c:v>5526.06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E-4512-93DC-BE4E64EB38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565600"/>
        <c:axId val="1861559776"/>
        <c:axId val="0"/>
      </c:bar3DChart>
      <c:catAx>
        <c:axId val="1861565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59776"/>
        <c:crosses val="autoZero"/>
        <c:auto val="1"/>
        <c:lblAlgn val="ctr"/>
        <c:lblOffset val="100"/>
        <c:noMultiLvlLbl val="0"/>
      </c:catAx>
      <c:valAx>
        <c:axId val="186155977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56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3-2026'!$B$76:$B$80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'9-2025 vs 3-2026'!$C$76:$C$80</c:f>
              <c:numCache>
                <c:formatCode>#,##0</c:formatCode>
                <c:ptCount val="5"/>
                <c:pt idx="0">
                  <c:v>136356.04</c:v>
                </c:pt>
                <c:pt idx="1">
                  <c:v>59083.54</c:v>
                </c:pt>
                <c:pt idx="2">
                  <c:v>37522.269999999997</c:v>
                </c:pt>
                <c:pt idx="3">
                  <c:v>26163.11</c:v>
                </c:pt>
                <c:pt idx="4">
                  <c:v>20926.21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646C-4D8B-8E77-CE47ACF004ED}"/>
            </c:ext>
          </c:extLst>
        </c:ser>
        <c:ser>
          <c:idx val="1"/>
          <c:order val="1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3-2026'!$B$76:$B$80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'9-2025 vs 3-2026'!$G$76:$G$80</c:f>
              <c:numCache>
                <c:formatCode>#,##0</c:formatCode>
                <c:ptCount val="5"/>
                <c:pt idx="0">
                  <c:v>134200.91</c:v>
                </c:pt>
                <c:pt idx="1">
                  <c:v>67035.22</c:v>
                </c:pt>
                <c:pt idx="2">
                  <c:v>39097.449999999997</c:v>
                </c:pt>
                <c:pt idx="3">
                  <c:v>27872.93</c:v>
                </c:pt>
                <c:pt idx="4">
                  <c:v>22922.720000000001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646C-4D8B-8E77-CE47ACF004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561440"/>
        <c:axId val="1861564352"/>
        <c:axId val="0"/>
      </c:bar3DChart>
      <c:catAx>
        <c:axId val="18615614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64352"/>
        <c:crosses val="autoZero"/>
        <c:auto val="1"/>
        <c:lblAlgn val="ctr"/>
        <c:lblOffset val="100"/>
        <c:noMultiLvlLbl val="0"/>
      </c:catAx>
      <c:valAx>
        <c:axId val="18615643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56144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3-2026'!$B$87:$B$91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'9-2025 vs 3-2026'!$C$87:$C$91</c:f>
              <c:numCache>
                <c:formatCode>#,##0</c:formatCode>
                <c:ptCount val="5"/>
                <c:pt idx="0">
                  <c:v>164937.5</c:v>
                </c:pt>
                <c:pt idx="1">
                  <c:v>67468.97</c:v>
                </c:pt>
                <c:pt idx="2">
                  <c:v>57466.75</c:v>
                </c:pt>
                <c:pt idx="3">
                  <c:v>42366.84</c:v>
                </c:pt>
                <c:pt idx="4">
                  <c:v>30453.37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F59A-4F70-92C7-FDA29E059CB2}"/>
            </c:ext>
          </c:extLst>
        </c:ser>
        <c:ser>
          <c:idx val="1"/>
          <c:order val="1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3-2026'!$B$87:$B$91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'9-2025 vs 3-2026'!$G$87:$G$91</c:f>
              <c:numCache>
                <c:formatCode>#,##0</c:formatCode>
                <c:ptCount val="5"/>
                <c:pt idx="0">
                  <c:v>164973.21</c:v>
                </c:pt>
                <c:pt idx="1">
                  <c:v>75573.179999999993</c:v>
                </c:pt>
                <c:pt idx="2">
                  <c:v>60825.53</c:v>
                </c:pt>
                <c:pt idx="3">
                  <c:v>46913.16</c:v>
                </c:pt>
                <c:pt idx="4">
                  <c:v>32864.5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F59A-4F70-92C7-FDA29E059C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594304"/>
        <c:axId val="1861586400"/>
        <c:axId val="0"/>
      </c:bar3DChart>
      <c:catAx>
        <c:axId val="1861594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86400"/>
        <c:crosses val="autoZero"/>
        <c:auto val="1"/>
        <c:lblAlgn val="ctr"/>
        <c:lblOffset val="100"/>
        <c:noMultiLvlLbl val="0"/>
      </c:catAx>
      <c:valAx>
        <c:axId val="18615864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59430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3-2026'!$B$97:$B$101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'9-2025 vs 3-2026'!$C$97:$C$101</c:f>
              <c:numCache>
                <c:formatCode>#,##0</c:formatCode>
                <c:ptCount val="5"/>
                <c:pt idx="0">
                  <c:v>119996.33</c:v>
                </c:pt>
                <c:pt idx="1">
                  <c:v>52933.17</c:v>
                </c:pt>
                <c:pt idx="2">
                  <c:v>39041.57</c:v>
                </c:pt>
                <c:pt idx="3">
                  <c:v>32159.4</c:v>
                </c:pt>
                <c:pt idx="4">
                  <c:v>20193.04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50BA-4CBF-98DC-1208183FC814}"/>
            </c:ext>
          </c:extLst>
        </c:ser>
        <c:ser>
          <c:idx val="1"/>
          <c:order val="1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3-2026'!$B$97:$B$101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'9-2025 vs 3-2026'!$G$97:$G$101</c:f>
              <c:numCache>
                <c:formatCode>#,##0</c:formatCode>
                <c:ptCount val="5"/>
                <c:pt idx="0">
                  <c:v>124407.09</c:v>
                </c:pt>
                <c:pt idx="1">
                  <c:v>61160.59</c:v>
                </c:pt>
                <c:pt idx="2">
                  <c:v>42631.69</c:v>
                </c:pt>
                <c:pt idx="3">
                  <c:v>34363.25</c:v>
                </c:pt>
                <c:pt idx="4">
                  <c:v>21151.35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50BA-4CBF-98DC-1208183FC8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582240"/>
        <c:axId val="1861588896"/>
        <c:axId val="0"/>
      </c:bar3DChart>
      <c:catAx>
        <c:axId val="1861582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88896"/>
        <c:crosses val="autoZero"/>
        <c:auto val="1"/>
        <c:lblAlgn val="ctr"/>
        <c:lblOffset val="100"/>
        <c:noMultiLvlLbl val="0"/>
      </c:catAx>
      <c:valAx>
        <c:axId val="18615888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58224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3-2026'!$I$108:$I$112</c:f>
              <c:strCache>
                <c:ptCount val="5"/>
                <c:pt idx="0">
                  <c:v>PHIL BUSINESS BANK</c:v>
                </c:pt>
                <c:pt idx="1">
                  <c:v>BANK OF MAKATI</c:v>
                </c:pt>
                <c:pt idx="2">
                  <c:v>FIRST CONSOLIDATED BANK</c:v>
                </c:pt>
                <c:pt idx="3">
                  <c:v>PRODUCERS SAVINGS BANK</c:v>
                </c:pt>
                <c:pt idx="4">
                  <c:v>STERLING BANK OF ASIA</c:v>
                </c:pt>
              </c:strCache>
            </c:strRef>
          </c:cat>
          <c:val>
            <c:numRef>
              <c:f>'9-2025 vs 3-2026'!$J$108:$J$112</c:f>
              <c:numCache>
                <c:formatCode>#,##0</c:formatCode>
                <c:ptCount val="5"/>
                <c:pt idx="0">
                  <c:v>20794.189999999999</c:v>
                </c:pt>
                <c:pt idx="1">
                  <c:v>16959.18</c:v>
                </c:pt>
                <c:pt idx="2">
                  <c:v>8173.57</c:v>
                </c:pt>
                <c:pt idx="3">
                  <c:v>7563.36</c:v>
                </c:pt>
                <c:pt idx="4">
                  <c:v>5526.06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37A1-4824-B7BE-F210AC5ABFC3}"/>
            </c:ext>
          </c:extLst>
        </c:ser>
        <c:ser>
          <c:idx val="1"/>
          <c:order val="1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'9-2025 vs 3-2026'!$I$108:$I$112</c:f>
              <c:strCache>
                <c:ptCount val="5"/>
                <c:pt idx="0">
                  <c:v>PHIL BUSINESS BANK</c:v>
                </c:pt>
                <c:pt idx="1">
                  <c:v>BANK OF MAKATI</c:v>
                </c:pt>
                <c:pt idx="2">
                  <c:v>FIRST CONSOLIDATED BANK</c:v>
                </c:pt>
                <c:pt idx="3">
                  <c:v>PRODUCERS SAVINGS BANK</c:v>
                </c:pt>
                <c:pt idx="4">
                  <c:v>STERLING BANK OF ASIA</c:v>
                </c:pt>
              </c:strCache>
            </c:strRef>
          </c:cat>
          <c:val>
            <c:numRef>
              <c:f>'9-2025 vs 3-2026'!$M$108:$M$112</c:f>
              <c:numCache>
                <c:formatCode>#,##0</c:formatCode>
                <c:ptCount val="5"/>
                <c:pt idx="0">
                  <c:v>21088.560000000001</c:v>
                </c:pt>
                <c:pt idx="1">
                  <c:v>18736.310000000001</c:v>
                </c:pt>
                <c:pt idx="2">
                  <c:v>8646.9500000000007</c:v>
                </c:pt>
                <c:pt idx="3">
                  <c:v>8420.7900000000009</c:v>
                </c:pt>
                <c:pt idx="4">
                  <c:v>5696.59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37A1-4824-B7BE-F210AC5ABF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602624"/>
        <c:axId val="1861596384"/>
        <c:axId val="0"/>
      </c:bar3DChart>
      <c:catAx>
        <c:axId val="18616026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96384"/>
        <c:crosses val="autoZero"/>
        <c:auto val="1"/>
        <c:lblAlgn val="ctr"/>
        <c:lblOffset val="100"/>
        <c:noMultiLvlLbl val="0"/>
      </c:catAx>
      <c:valAx>
        <c:axId val="18615963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60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3-2026'!$I$23:$I$32</c:f>
              <c:strCache>
                <c:ptCount val="10"/>
                <c:pt idx="0">
                  <c:v>PHIL SAVINGS BANK</c:v>
                </c:pt>
                <c:pt idx="1">
                  <c:v>CHINA BANK SAVINGS</c:v>
                </c:pt>
                <c:pt idx="2">
                  <c:v>CITY SAVINGS BANK</c:v>
                </c:pt>
                <c:pt idx="3">
                  <c:v>PHIL BUSINESS BANK</c:v>
                </c:pt>
                <c:pt idx="4">
                  <c:v>BDO NETWORK BANK INC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'3-2025 vs 3-2026'!$J$23:$J$32</c:f>
              <c:numCache>
                <c:formatCode>#,##0</c:formatCode>
                <c:ptCount val="10"/>
                <c:pt idx="0">
                  <c:v>220559.48</c:v>
                </c:pt>
                <c:pt idx="1">
                  <c:v>194961.41</c:v>
                </c:pt>
                <c:pt idx="2">
                  <c:v>153876.9</c:v>
                </c:pt>
                <c:pt idx="3">
                  <c:v>161185.26999999999</c:v>
                </c:pt>
                <c:pt idx="5">
                  <c:v>60564.5</c:v>
                </c:pt>
                <c:pt idx="6">
                  <c:v>57361.64</c:v>
                </c:pt>
                <c:pt idx="7">
                  <c:v>53657.06</c:v>
                </c:pt>
                <c:pt idx="8">
                  <c:v>39142.28</c:v>
                </c:pt>
                <c:pt idx="9">
                  <c:v>29536.880000000001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EB-4C29-9B65-473F230AD3E9}"/>
            </c:ext>
          </c:extLst>
        </c:ser>
        <c:ser>
          <c:idx val="1"/>
          <c:order val="1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3-2026'!$I$23:$I$32</c:f>
              <c:strCache>
                <c:ptCount val="10"/>
                <c:pt idx="0">
                  <c:v>PHIL SAVINGS BANK</c:v>
                </c:pt>
                <c:pt idx="1">
                  <c:v>CHINA BANK SAVINGS</c:v>
                </c:pt>
                <c:pt idx="2">
                  <c:v>CITY SAVINGS BANK</c:v>
                </c:pt>
                <c:pt idx="3">
                  <c:v>PHIL BUSINESS BANK</c:v>
                </c:pt>
                <c:pt idx="4">
                  <c:v>BDO NETWORK BANK INC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'3-2025 vs 3-2026'!$M$23:$M$32</c:f>
              <c:numCache>
                <c:formatCode>#,##0</c:formatCode>
                <c:ptCount val="10"/>
                <c:pt idx="0">
                  <c:v>232588.73</c:v>
                </c:pt>
                <c:pt idx="1">
                  <c:v>217536.44</c:v>
                </c:pt>
                <c:pt idx="2">
                  <c:v>171953.32</c:v>
                </c:pt>
                <c:pt idx="3">
                  <c:v>164973.21</c:v>
                </c:pt>
                <c:pt idx="4">
                  <c:v>159509.10999999999</c:v>
                </c:pt>
                <c:pt idx="5">
                  <c:v>75573.179999999993</c:v>
                </c:pt>
                <c:pt idx="6">
                  <c:v>67616.02</c:v>
                </c:pt>
                <c:pt idx="7">
                  <c:v>60825.53</c:v>
                </c:pt>
                <c:pt idx="8">
                  <c:v>46913.16</c:v>
                </c:pt>
                <c:pt idx="9">
                  <c:v>32864.5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B-4C29-9B65-473F230AD3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570176"/>
        <c:axId val="1861573504"/>
        <c:axId val="0"/>
      </c:bar3DChart>
      <c:catAx>
        <c:axId val="18615701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73504"/>
        <c:crosses val="autoZero"/>
        <c:auto val="1"/>
        <c:lblAlgn val="ctr"/>
        <c:lblOffset val="100"/>
        <c:noMultiLvlLbl val="0"/>
      </c:catAx>
      <c:valAx>
        <c:axId val="18615735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57017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3-2026'!$I$8:$I$17</c:f>
              <c:strCache>
                <c:ptCount val="10"/>
                <c:pt idx="0">
                  <c:v>CHINA BANK SAVINGS</c:v>
                </c:pt>
                <c:pt idx="1">
                  <c:v>PHIL SAVINGS BANK</c:v>
                </c:pt>
                <c:pt idx="2">
                  <c:v>PHIL BUSINESS BANK</c:v>
                </c:pt>
                <c:pt idx="3">
                  <c:v>BDO NETWORK BANK INC</c:v>
                </c:pt>
                <c:pt idx="4">
                  <c:v>CITY SAVINGS BANK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'3-2025 vs 3-2026'!$J$8:$J$17</c:f>
              <c:numCache>
                <c:formatCode>#,##0</c:formatCode>
                <c:ptCount val="10"/>
                <c:pt idx="0">
                  <c:v>170728.89</c:v>
                </c:pt>
                <c:pt idx="1">
                  <c:v>169678.92</c:v>
                </c:pt>
                <c:pt idx="2">
                  <c:v>130715.98</c:v>
                </c:pt>
                <c:pt idx="4">
                  <c:v>93441.09</c:v>
                </c:pt>
                <c:pt idx="5">
                  <c:v>52139.78</c:v>
                </c:pt>
                <c:pt idx="6">
                  <c:v>43904.480000000003</c:v>
                </c:pt>
                <c:pt idx="7">
                  <c:v>33138.82</c:v>
                </c:pt>
                <c:pt idx="8">
                  <c:v>25439.29</c:v>
                </c:pt>
                <c:pt idx="9">
                  <c:v>20120.66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EB-4726-A440-58D5D13FA2ED}"/>
            </c:ext>
          </c:extLst>
        </c:ser>
        <c:ser>
          <c:idx val="1"/>
          <c:order val="1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3-2026'!$I$8:$I$17</c:f>
              <c:strCache>
                <c:ptCount val="10"/>
                <c:pt idx="0">
                  <c:v>CHINA BANK SAVINGS</c:v>
                </c:pt>
                <c:pt idx="1">
                  <c:v>PHIL SAVINGS BANK</c:v>
                </c:pt>
                <c:pt idx="2">
                  <c:v>PHIL BUSINESS BANK</c:v>
                </c:pt>
                <c:pt idx="3">
                  <c:v>BDO NETWORK BANK INC</c:v>
                </c:pt>
                <c:pt idx="4">
                  <c:v>CITY SAVINGS BANK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'3-2025 vs 3-2026'!$M$8:$M$17</c:f>
              <c:numCache>
                <c:formatCode>#,##0</c:formatCode>
                <c:ptCount val="10"/>
                <c:pt idx="0">
                  <c:v>191444.7</c:v>
                </c:pt>
                <c:pt idx="1">
                  <c:v>177200.83</c:v>
                </c:pt>
                <c:pt idx="2">
                  <c:v>134200.91</c:v>
                </c:pt>
                <c:pt idx="3">
                  <c:v>113725.37</c:v>
                </c:pt>
                <c:pt idx="4">
                  <c:v>107207.15</c:v>
                </c:pt>
                <c:pt idx="5">
                  <c:v>67035.22</c:v>
                </c:pt>
                <c:pt idx="6">
                  <c:v>50737.04</c:v>
                </c:pt>
                <c:pt idx="7">
                  <c:v>39097.449999999997</c:v>
                </c:pt>
                <c:pt idx="8">
                  <c:v>27872.93</c:v>
                </c:pt>
                <c:pt idx="9">
                  <c:v>22922.720000000001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B-4726-A440-58D5D13FA2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576000"/>
        <c:axId val="1861576416"/>
        <c:axId val="0"/>
      </c:bar3DChart>
      <c:catAx>
        <c:axId val="1861576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76416"/>
        <c:crosses val="autoZero"/>
        <c:auto val="1"/>
        <c:lblAlgn val="ctr"/>
        <c:lblOffset val="100"/>
        <c:noMultiLvlLbl val="0"/>
      </c:catAx>
      <c:valAx>
        <c:axId val="186157641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57600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3-2026'!$I$40:$I$49</c:f>
              <c:strCache>
                <c:ptCount val="10"/>
                <c:pt idx="0">
                  <c:v>PHIL SAVINGS BANK</c:v>
                </c:pt>
                <c:pt idx="1">
                  <c:v>CHINA BANK SAVINGS</c:v>
                </c:pt>
                <c:pt idx="2">
                  <c:v>CITY SAVINGS BANK</c:v>
                </c:pt>
                <c:pt idx="3">
                  <c:v>PHIL BUSINESS BANK</c:v>
                </c:pt>
                <c:pt idx="4">
                  <c:v>BDO NETWORK BANK INC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'3-2025 vs 3-2026'!$J$40:$J$49</c:f>
              <c:numCache>
                <c:formatCode>#,##0</c:formatCode>
                <c:ptCount val="10"/>
                <c:pt idx="0">
                  <c:v>154426.26</c:v>
                </c:pt>
                <c:pt idx="1">
                  <c:v>143611.69</c:v>
                </c:pt>
                <c:pt idx="2">
                  <c:v>105030.03</c:v>
                </c:pt>
                <c:pt idx="3">
                  <c:v>121748.11</c:v>
                </c:pt>
                <c:pt idx="5">
                  <c:v>46342.23</c:v>
                </c:pt>
                <c:pt idx="6">
                  <c:v>42385.88</c:v>
                </c:pt>
                <c:pt idx="7">
                  <c:v>36500.39</c:v>
                </c:pt>
                <c:pt idx="8">
                  <c:v>29263.21</c:v>
                </c:pt>
                <c:pt idx="9">
                  <c:v>19954.59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19-450D-AAF2-33E8E960A979}"/>
            </c:ext>
          </c:extLst>
        </c:ser>
        <c:ser>
          <c:idx val="1"/>
          <c:order val="1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3-2026'!$I$40:$I$49</c:f>
              <c:strCache>
                <c:ptCount val="10"/>
                <c:pt idx="0">
                  <c:v>PHIL SAVINGS BANK</c:v>
                </c:pt>
                <c:pt idx="1">
                  <c:v>CHINA BANK SAVINGS</c:v>
                </c:pt>
                <c:pt idx="2">
                  <c:v>CITY SAVINGS BANK</c:v>
                </c:pt>
                <c:pt idx="3">
                  <c:v>PHIL BUSINESS BANK</c:v>
                </c:pt>
                <c:pt idx="4">
                  <c:v>BDO NETWORK BANK INC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'3-2025 vs 3-2026'!$M$40:$M$49</c:f>
              <c:numCache>
                <c:formatCode>#,##0</c:formatCode>
                <c:ptCount val="10"/>
                <c:pt idx="0">
                  <c:v>159342.78</c:v>
                </c:pt>
                <c:pt idx="1">
                  <c:v>154470.63</c:v>
                </c:pt>
                <c:pt idx="2">
                  <c:v>126959.29</c:v>
                </c:pt>
                <c:pt idx="3">
                  <c:v>124407.09</c:v>
                </c:pt>
                <c:pt idx="4">
                  <c:v>116198.95</c:v>
                </c:pt>
                <c:pt idx="5">
                  <c:v>61160.59</c:v>
                </c:pt>
                <c:pt idx="6">
                  <c:v>44631.69</c:v>
                </c:pt>
                <c:pt idx="7">
                  <c:v>42741.19</c:v>
                </c:pt>
                <c:pt idx="8">
                  <c:v>34363.25</c:v>
                </c:pt>
                <c:pt idx="9">
                  <c:v>21151.35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9-450D-AAF2-33E8E960A9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566432"/>
        <c:axId val="1861556032"/>
        <c:axId val="0"/>
      </c:bar3DChart>
      <c:catAx>
        <c:axId val="1861566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56032"/>
        <c:crosses val="autoZero"/>
        <c:auto val="1"/>
        <c:lblAlgn val="ctr"/>
        <c:lblOffset val="100"/>
        <c:noMultiLvlLbl val="0"/>
      </c:catAx>
      <c:valAx>
        <c:axId val="18615560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56643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3-2026'!$I$58:$I$67</c:f>
              <c:strCache>
                <c:ptCount val="10"/>
                <c:pt idx="0">
                  <c:v>PHIL SAVINGS BANK</c:v>
                </c:pt>
                <c:pt idx="1">
                  <c:v>CITY SAVINGS BANK</c:v>
                </c:pt>
                <c:pt idx="2">
                  <c:v>PHIL BUSINESS BANK</c:v>
                </c:pt>
                <c:pt idx="3">
                  <c:v>CHINA BANK SAVINGS</c:v>
                </c:pt>
                <c:pt idx="4">
                  <c:v>BDO NETWORK BANK INC</c:v>
                </c:pt>
                <c:pt idx="5">
                  <c:v>BANK OF MAKATI</c:v>
                </c:pt>
                <c:pt idx="6">
                  <c:v>BPI DIRECT BANKO</c:v>
                </c:pt>
                <c:pt idx="7">
                  <c:v>FIRST CONSOLIDATED BANK</c:v>
                </c:pt>
                <c:pt idx="8">
                  <c:v>PRODUCERS SAVINGS BANK</c:v>
                </c:pt>
                <c:pt idx="9">
                  <c:v>STERLING BANK OF ASIA</c:v>
                </c:pt>
              </c:strCache>
            </c:strRef>
          </c:cat>
          <c:val>
            <c:numRef>
              <c:f>'3-2025 vs 3-2026'!$J$58:$J$67</c:f>
              <c:numCache>
                <c:formatCode>#,##0</c:formatCode>
                <c:ptCount val="10"/>
                <c:pt idx="0">
                  <c:v>43676.29</c:v>
                </c:pt>
                <c:pt idx="1">
                  <c:v>21625.84</c:v>
                </c:pt>
                <c:pt idx="2">
                  <c:v>20084.830000000002</c:v>
                </c:pt>
                <c:pt idx="3">
                  <c:v>19268.919999999998</c:v>
                </c:pt>
                <c:pt idx="5">
                  <c:v>18034.79</c:v>
                </c:pt>
                <c:pt idx="6">
                  <c:v>8989.56</c:v>
                </c:pt>
                <c:pt idx="7">
                  <c:v>7760.45</c:v>
                </c:pt>
                <c:pt idx="8">
                  <c:v>6807.42</c:v>
                </c:pt>
                <c:pt idx="9">
                  <c:v>5144.34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5-4BDB-BFF0-14416E8DA9A2}"/>
            </c:ext>
          </c:extLst>
        </c:ser>
        <c:ser>
          <c:idx val="1"/>
          <c:order val="1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3-2026'!$I$58:$I$67</c:f>
              <c:strCache>
                <c:ptCount val="10"/>
                <c:pt idx="0">
                  <c:v>PHIL SAVINGS BANK</c:v>
                </c:pt>
                <c:pt idx="1">
                  <c:v>CITY SAVINGS BANK</c:v>
                </c:pt>
                <c:pt idx="2">
                  <c:v>PHIL BUSINESS BANK</c:v>
                </c:pt>
                <c:pt idx="3">
                  <c:v>CHINA BANK SAVINGS</c:v>
                </c:pt>
                <c:pt idx="4">
                  <c:v>BDO NETWORK BANK INC</c:v>
                </c:pt>
                <c:pt idx="5">
                  <c:v>BANK OF MAKATI</c:v>
                </c:pt>
                <c:pt idx="6">
                  <c:v>BPI DIRECT BANKO</c:v>
                </c:pt>
                <c:pt idx="7">
                  <c:v>FIRST CONSOLIDATED BANK</c:v>
                </c:pt>
                <c:pt idx="8">
                  <c:v>PRODUCERS SAVINGS BANK</c:v>
                </c:pt>
                <c:pt idx="9">
                  <c:v>STERLING BANK OF ASIA</c:v>
                </c:pt>
              </c:strCache>
            </c:strRef>
          </c:cat>
          <c:val>
            <c:numRef>
              <c:f>'3-2025 vs 3-2026'!$M$58:$M$67</c:f>
              <c:numCache>
                <c:formatCode>#,##0</c:formatCode>
                <c:ptCount val="10"/>
                <c:pt idx="0">
                  <c:v>44269</c:v>
                </c:pt>
                <c:pt idx="1">
                  <c:v>22377.7</c:v>
                </c:pt>
                <c:pt idx="2">
                  <c:v>21088.560000000001</c:v>
                </c:pt>
                <c:pt idx="3">
                  <c:v>21832.33</c:v>
                </c:pt>
                <c:pt idx="4">
                  <c:v>19984.830000000002</c:v>
                </c:pt>
                <c:pt idx="5">
                  <c:v>18736.310000000001</c:v>
                </c:pt>
                <c:pt idx="6">
                  <c:v>11853.33</c:v>
                </c:pt>
                <c:pt idx="7">
                  <c:v>8646.9500000000007</c:v>
                </c:pt>
                <c:pt idx="8">
                  <c:v>8420.7900000000009</c:v>
                </c:pt>
                <c:pt idx="9">
                  <c:v>5696.59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45-4BDB-BFF0-14416E8DA9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565600"/>
        <c:axId val="1861559776"/>
        <c:axId val="0"/>
      </c:bar3DChart>
      <c:catAx>
        <c:axId val="1861565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59776"/>
        <c:crosses val="autoZero"/>
        <c:auto val="1"/>
        <c:lblAlgn val="ctr"/>
        <c:lblOffset val="100"/>
        <c:noMultiLvlLbl val="0"/>
      </c:catAx>
      <c:valAx>
        <c:axId val="186155977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56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3-2026'!$B$76:$B$80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'3-2025 vs 3-2026'!$C$76:$C$80</c:f>
              <c:numCache>
                <c:formatCode>#,##0</c:formatCode>
                <c:ptCount val="5"/>
                <c:pt idx="0">
                  <c:v>130715.98</c:v>
                </c:pt>
                <c:pt idx="1">
                  <c:v>52139.78</c:v>
                </c:pt>
                <c:pt idx="2">
                  <c:v>33138.82</c:v>
                </c:pt>
                <c:pt idx="3">
                  <c:v>25439.29</c:v>
                </c:pt>
                <c:pt idx="4">
                  <c:v>20120.66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E50C-4C9B-806B-5579ABF59B22}"/>
            </c:ext>
          </c:extLst>
        </c:ser>
        <c:ser>
          <c:idx val="1"/>
          <c:order val="1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3-2026'!$B$76:$B$80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'3-2025 vs 3-2026'!$G$76:$G$80</c:f>
              <c:numCache>
                <c:formatCode>#,##0</c:formatCode>
                <c:ptCount val="5"/>
                <c:pt idx="0">
                  <c:v>134200.91</c:v>
                </c:pt>
                <c:pt idx="1">
                  <c:v>67035.22</c:v>
                </c:pt>
                <c:pt idx="2">
                  <c:v>39097.449999999997</c:v>
                </c:pt>
                <c:pt idx="3">
                  <c:v>27872.93</c:v>
                </c:pt>
                <c:pt idx="4">
                  <c:v>22922.720000000001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E50C-4C9B-806B-5579ABF59B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561440"/>
        <c:axId val="1861564352"/>
        <c:axId val="0"/>
      </c:bar3DChart>
      <c:catAx>
        <c:axId val="18615614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64352"/>
        <c:crosses val="autoZero"/>
        <c:auto val="1"/>
        <c:lblAlgn val="ctr"/>
        <c:lblOffset val="100"/>
        <c:noMultiLvlLbl val="0"/>
      </c:catAx>
      <c:valAx>
        <c:axId val="18615643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56144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3-2026'!$B$87:$B$91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'3-2025 vs 3-2026'!$C$87:$C$91</c:f>
              <c:numCache>
                <c:formatCode>#,##0</c:formatCode>
                <c:ptCount val="5"/>
                <c:pt idx="0">
                  <c:v>161185.26999999999</c:v>
                </c:pt>
                <c:pt idx="1">
                  <c:v>60564.5</c:v>
                </c:pt>
                <c:pt idx="2">
                  <c:v>53657.06</c:v>
                </c:pt>
                <c:pt idx="3">
                  <c:v>39142.28</c:v>
                </c:pt>
                <c:pt idx="4">
                  <c:v>29536.880000000001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1C59-40B4-99F1-9383834502C6}"/>
            </c:ext>
          </c:extLst>
        </c:ser>
        <c:ser>
          <c:idx val="1"/>
          <c:order val="1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3-2026'!$B$87:$B$91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'3-2025 vs 3-2026'!$G$87:$G$91</c:f>
              <c:numCache>
                <c:formatCode>#,##0</c:formatCode>
                <c:ptCount val="5"/>
                <c:pt idx="0">
                  <c:v>164973.21</c:v>
                </c:pt>
                <c:pt idx="1">
                  <c:v>75573.179999999993</c:v>
                </c:pt>
                <c:pt idx="2">
                  <c:v>60825.53</c:v>
                </c:pt>
                <c:pt idx="3">
                  <c:v>46913.16</c:v>
                </c:pt>
                <c:pt idx="4">
                  <c:v>32864.5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1C59-40B4-99F1-9383834502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594304"/>
        <c:axId val="1861586400"/>
        <c:axId val="0"/>
      </c:bar3DChart>
      <c:catAx>
        <c:axId val="1861594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86400"/>
        <c:crosses val="autoZero"/>
        <c:auto val="1"/>
        <c:lblAlgn val="ctr"/>
        <c:lblOffset val="100"/>
        <c:noMultiLvlLbl val="0"/>
      </c:catAx>
      <c:valAx>
        <c:axId val="18615864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59430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3-2026'!$B$97:$B$101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'3-2025 vs 3-2026'!$C$97:$C$101</c:f>
              <c:numCache>
                <c:formatCode>#,##0</c:formatCode>
                <c:ptCount val="5"/>
                <c:pt idx="0">
                  <c:v>121748.11</c:v>
                </c:pt>
                <c:pt idx="1">
                  <c:v>46342.23</c:v>
                </c:pt>
                <c:pt idx="2">
                  <c:v>36500.39</c:v>
                </c:pt>
                <c:pt idx="3">
                  <c:v>29263.21</c:v>
                </c:pt>
                <c:pt idx="4">
                  <c:v>19954.59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5241-4EDD-AA0C-ADE9723C1DB9}"/>
            </c:ext>
          </c:extLst>
        </c:ser>
        <c:ser>
          <c:idx val="1"/>
          <c:order val="1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3-2026'!$B$97:$B$101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'3-2025 vs 3-2026'!$G$97:$G$101</c:f>
              <c:numCache>
                <c:formatCode>#,##0</c:formatCode>
                <c:ptCount val="5"/>
                <c:pt idx="0">
                  <c:v>124407.09</c:v>
                </c:pt>
                <c:pt idx="1">
                  <c:v>61160.59</c:v>
                </c:pt>
                <c:pt idx="2">
                  <c:v>42631.69</c:v>
                </c:pt>
                <c:pt idx="3">
                  <c:v>34363.25</c:v>
                </c:pt>
                <c:pt idx="4">
                  <c:v>21151.35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5241-4EDD-AA0C-ADE9723C1D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582240"/>
        <c:axId val="1861588896"/>
        <c:axId val="0"/>
      </c:bar3DChart>
      <c:catAx>
        <c:axId val="1861582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88896"/>
        <c:crosses val="autoZero"/>
        <c:auto val="1"/>
        <c:lblAlgn val="ctr"/>
        <c:lblOffset val="100"/>
        <c:noMultiLvlLbl val="0"/>
      </c:catAx>
      <c:valAx>
        <c:axId val="18615888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58224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3-2026'!$I$108:$I$112</c:f>
              <c:strCache>
                <c:ptCount val="5"/>
                <c:pt idx="0">
                  <c:v>PHIL BUSINESS BANK</c:v>
                </c:pt>
                <c:pt idx="1">
                  <c:v>BANK OF MAKATI</c:v>
                </c:pt>
                <c:pt idx="2">
                  <c:v>FIRST CONSOLIDATED BANK</c:v>
                </c:pt>
                <c:pt idx="3">
                  <c:v>PRODUCERS SAVINGS BANK</c:v>
                </c:pt>
                <c:pt idx="4">
                  <c:v>STERLING BANK OF ASIA</c:v>
                </c:pt>
              </c:strCache>
            </c:strRef>
          </c:cat>
          <c:val>
            <c:numRef>
              <c:f>'3-2025 vs 3-2026'!$J$108:$J$112</c:f>
              <c:numCache>
                <c:formatCode>#,##0</c:formatCode>
                <c:ptCount val="5"/>
                <c:pt idx="0">
                  <c:v>20084.830000000002</c:v>
                </c:pt>
                <c:pt idx="1">
                  <c:v>18034.79</c:v>
                </c:pt>
                <c:pt idx="2">
                  <c:v>7760.45</c:v>
                </c:pt>
                <c:pt idx="3">
                  <c:v>6807.42</c:v>
                </c:pt>
                <c:pt idx="4">
                  <c:v>5144.34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9C23-45F1-A409-247F110C7ED9}"/>
            </c:ext>
          </c:extLst>
        </c:ser>
        <c:ser>
          <c:idx val="1"/>
          <c:order val="1"/>
          <c:tx>
            <c:v>2026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'3-2025 vs 3-2026'!$I$108:$I$112</c:f>
              <c:strCache>
                <c:ptCount val="5"/>
                <c:pt idx="0">
                  <c:v>PHIL BUSINESS BANK</c:v>
                </c:pt>
                <c:pt idx="1">
                  <c:v>BANK OF MAKATI</c:v>
                </c:pt>
                <c:pt idx="2">
                  <c:v>FIRST CONSOLIDATED BANK</c:v>
                </c:pt>
                <c:pt idx="3">
                  <c:v>PRODUCERS SAVINGS BANK</c:v>
                </c:pt>
                <c:pt idx="4">
                  <c:v>STERLING BANK OF ASIA</c:v>
                </c:pt>
              </c:strCache>
            </c:strRef>
          </c:cat>
          <c:val>
            <c:numRef>
              <c:f>'3-2025 vs 3-2026'!$M$108:$M$112</c:f>
              <c:numCache>
                <c:formatCode>#,##0</c:formatCode>
                <c:ptCount val="5"/>
                <c:pt idx="0">
                  <c:v>21088.560000000001</c:v>
                </c:pt>
                <c:pt idx="1">
                  <c:v>18736.310000000001</c:v>
                </c:pt>
                <c:pt idx="2">
                  <c:v>8646.9500000000007</c:v>
                </c:pt>
                <c:pt idx="3">
                  <c:v>8420.7900000000009</c:v>
                </c:pt>
                <c:pt idx="4">
                  <c:v>5696.59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9C23-45F1-A409-247F110C7E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602624"/>
        <c:axId val="1861596384"/>
        <c:axId val="0"/>
      </c:bar3DChart>
      <c:catAx>
        <c:axId val="18616026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596384"/>
        <c:crosses val="autoZero"/>
        <c:auto val="1"/>
        <c:lblAlgn val="ctr"/>
        <c:lblOffset val="100"/>
        <c:noMultiLvlLbl val="0"/>
      </c:catAx>
      <c:valAx>
        <c:axId val="18615963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86160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D4-4317-8510-3888DBFED3E5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D4-4317-8510-3888DBFED3E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0D4-4317-8510-3888DBFED3E5}"/>
              </c:ext>
            </c:extLst>
          </c:dPt>
          <c:dLbls>
            <c:dLbl>
              <c:idx val="0"/>
              <c:layout>
                <c:manualLayout>
                  <c:x val="0"/>
                  <c:y val="4.62389358782466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60D4-4317-8510-3888DBFED3E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0D4-4317-8510-3888DBFED3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September'!$C$39:$C$48</c:f>
              <c:strCache>
                <c:ptCount val="10"/>
                <c:pt idx="0">
                  <c:v>PHIL SAVINGS BANK</c:v>
                </c:pt>
                <c:pt idx="1">
                  <c:v>CHINA BANK SAVINGS</c:v>
                </c:pt>
                <c:pt idx="2">
                  <c:v>CITY SAVINGS BANK</c:v>
                </c:pt>
                <c:pt idx="3">
                  <c:v>PHIL BUSINESS BANK</c:v>
                </c:pt>
                <c:pt idx="4">
                  <c:v>BDO NETWORK BANK INC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'2025 September'!$D$39:$D$48</c:f>
              <c:numCache>
                <c:formatCode>#,##0</c:formatCode>
                <c:ptCount val="10"/>
                <c:pt idx="0">
                  <c:v>154492.91</c:v>
                </c:pt>
                <c:pt idx="1">
                  <c:v>152502.18</c:v>
                </c:pt>
                <c:pt idx="2">
                  <c:v>123115.35</c:v>
                </c:pt>
                <c:pt idx="3">
                  <c:v>119996.33</c:v>
                </c:pt>
                <c:pt idx="4">
                  <c:v>116002.3</c:v>
                </c:pt>
                <c:pt idx="5">
                  <c:v>52933.17</c:v>
                </c:pt>
                <c:pt idx="6">
                  <c:v>41283.65</c:v>
                </c:pt>
                <c:pt idx="7">
                  <c:v>39041.57</c:v>
                </c:pt>
                <c:pt idx="8">
                  <c:v>32159.4</c:v>
                </c:pt>
                <c:pt idx="9">
                  <c:v>20193.04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D4-4317-8510-3888DBFED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727760"/>
        <c:axId val="486728152"/>
      </c:barChart>
      <c:catAx>
        <c:axId val="4867277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8152"/>
        <c:crosses val="autoZero"/>
        <c:auto val="0"/>
        <c:lblAlgn val="ctr"/>
        <c:lblOffset val="100"/>
        <c:noMultiLvlLbl val="0"/>
      </c:catAx>
      <c:valAx>
        <c:axId val="48672815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672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55914415634955"/>
          <c:y val="5.2501467560707407E-2"/>
          <c:w val="0.5661106552949805"/>
          <c:h val="0.89499706487858521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EC-4E7F-9F36-F521CE1EFEA8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EC-4E7F-9F36-F521CE1EFEA8}"/>
              </c:ext>
            </c:extLst>
          </c:dPt>
          <c:dLbls>
            <c:dLbl>
              <c:idx val="0"/>
              <c:layout>
                <c:manualLayout>
                  <c:x val="0.31705949468526151"/>
                  <c:y val="9.179949638916709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325685273349575"/>
                      <c:h val="8.58400873696576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0EC-4E7F-9F36-F521CE1EFEA8}"/>
                </c:ext>
              </c:extLst>
            </c:dLbl>
            <c:dLbl>
              <c:idx val="1"/>
              <c:layout>
                <c:manualLayout>
                  <c:x val="0.2608200515900192"/>
                  <c:y val="8.1096752480546913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0EC-4E7F-9F36-F521CE1EFEA8}"/>
                </c:ext>
              </c:extLst>
            </c:dLbl>
            <c:dLbl>
              <c:idx val="2"/>
              <c:layout>
                <c:manualLayout>
                  <c:x val="0.22504283997329458"/>
                  <c:y val="5.15045475003953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E0EC-4E7F-9F36-F521CE1EFEA8}"/>
                </c:ext>
              </c:extLst>
            </c:dLbl>
            <c:dLbl>
              <c:idx val="3"/>
              <c:layout>
                <c:manualLayout>
                  <c:x val="0.21065102526308882"/>
                  <c:y val="9.16920431921308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E0EC-4E7F-9F36-F521CE1EFEA8}"/>
                </c:ext>
              </c:extLst>
            </c:dLbl>
            <c:dLbl>
              <c:idx val="4"/>
              <c:layout>
                <c:manualLayout>
                  <c:x val="9.3201006124234417E-2"/>
                  <c:y val="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0EC-4E7F-9F36-F521CE1EFEA8}"/>
                </c:ext>
              </c:extLst>
            </c:dLbl>
            <c:dLbl>
              <c:idx val="5"/>
              <c:layout>
                <c:manualLayout>
                  <c:x val="9.1286914367512975E-2"/>
                  <c:y val="3.7581580215252258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0EC-4E7F-9F36-F521CE1EFEA8}"/>
                </c:ext>
              </c:extLst>
            </c:dLbl>
            <c:dLbl>
              <c:idx val="6"/>
              <c:layout>
                <c:manualLayout>
                  <c:x val="9.3782717509062016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E0EC-4E7F-9F36-F521CE1EFEA8}"/>
                </c:ext>
              </c:extLst>
            </c:dLbl>
            <c:dLbl>
              <c:idx val="7"/>
              <c:layout>
                <c:manualLayout>
                  <c:x val="7.3959973753280783E-2"/>
                  <c:y val="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E0EC-4E7F-9F36-F521CE1EFEA8}"/>
                </c:ext>
              </c:extLst>
            </c:dLbl>
            <c:dLbl>
              <c:idx val="8"/>
              <c:layout>
                <c:manualLayout>
                  <c:x val="7.2187007874015691E-2"/>
                  <c:y val="9.259623797025372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E0EC-4E7F-9F36-F521CE1EFEA8}"/>
                </c:ext>
              </c:extLst>
            </c:dLbl>
            <c:dLbl>
              <c:idx val="9"/>
              <c:layout>
                <c:manualLayout>
                  <c:x val="7.7479440069991204E-2"/>
                  <c:y val="4.62962962962979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E0EC-4E7F-9F36-F521CE1EFE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'2025 September'!$C$22:$C$31</c:f>
              <c:strCache>
                <c:ptCount val="10"/>
                <c:pt idx="0">
                  <c:v>PHIL SAVINGS BANK</c:v>
                </c:pt>
                <c:pt idx="1">
                  <c:v>CHINA BANK SAVINGS</c:v>
                </c:pt>
                <c:pt idx="2">
                  <c:v>CITY SAVINGS BANK</c:v>
                </c:pt>
                <c:pt idx="3">
                  <c:v>PHIL BUSINESS BANK</c:v>
                </c:pt>
                <c:pt idx="4">
                  <c:v>BDO NETWORK BANK INC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'2025 September'!$D$22:$D$31</c:f>
              <c:numCache>
                <c:formatCode>#,##0</c:formatCode>
                <c:ptCount val="10"/>
                <c:pt idx="0">
                  <c:v>220919.27</c:v>
                </c:pt>
                <c:pt idx="1">
                  <c:v>212063.44</c:v>
                </c:pt>
                <c:pt idx="2">
                  <c:v>167867.51</c:v>
                </c:pt>
                <c:pt idx="3">
                  <c:v>164937.5</c:v>
                </c:pt>
                <c:pt idx="4">
                  <c:v>144360.10999999999</c:v>
                </c:pt>
                <c:pt idx="5">
                  <c:v>67468.97</c:v>
                </c:pt>
                <c:pt idx="6">
                  <c:v>59123.29</c:v>
                </c:pt>
                <c:pt idx="7">
                  <c:v>57466.75</c:v>
                </c:pt>
                <c:pt idx="8">
                  <c:v>42366.84</c:v>
                </c:pt>
                <c:pt idx="9">
                  <c:v>30453.37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0EC-4E7F-9F36-F521CE1EF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738344"/>
        <c:axId val="486737168"/>
      </c:barChart>
      <c:catAx>
        <c:axId val="4867383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37168"/>
        <c:crosses val="autoZero"/>
        <c:auto val="1"/>
        <c:lblAlgn val="ctr"/>
        <c:lblOffset val="100"/>
        <c:noMultiLvlLbl val="0"/>
      </c:catAx>
      <c:valAx>
        <c:axId val="486737168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6738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38-49AC-835C-3447AA2FB9D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38-49AC-835C-3447AA2FB9D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F38-49AC-835C-3447AA2FB9DE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F38-49AC-835C-3447AA2FB9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September'!$C$7:$C$18</c:f>
              <c:strCache>
                <c:ptCount val="10"/>
                <c:pt idx="0">
                  <c:v>CHINA BANK SAVINGS</c:v>
                </c:pt>
                <c:pt idx="1">
                  <c:v>PHIL SAVINGS BANK</c:v>
                </c:pt>
                <c:pt idx="2">
                  <c:v>PHIL BUSINESS BANK</c:v>
                </c:pt>
                <c:pt idx="3">
                  <c:v>BDO NETWORK BANK INC</c:v>
                </c:pt>
                <c:pt idx="4">
                  <c:v>CITY SAVINGS BANK</c:v>
                </c:pt>
                <c:pt idx="5">
                  <c:v>STERLING BANK OF ASIA</c:v>
                </c:pt>
                <c:pt idx="6">
                  <c:v>BPI DIRECT BANKO</c:v>
                </c:pt>
                <c:pt idx="7">
                  <c:v>BANK OF MAKATI</c:v>
                </c:pt>
                <c:pt idx="8">
                  <c:v>PRODUCERS SAVINGS BANK</c:v>
                </c:pt>
                <c:pt idx="9">
                  <c:v>FIRST CONSOLIDATED BANK</c:v>
                </c:pt>
              </c:strCache>
            </c:strRef>
          </c:cat>
          <c:val>
            <c:numRef>
              <c:f>'2025 September'!$D$7:$D$18</c:f>
              <c:numCache>
                <c:formatCode>#,##0</c:formatCode>
                <c:ptCount val="12"/>
                <c:pt idx="0">
                  <c:v>186286.49</c:v>
                </c:pt>
                <c:pt idx="1">
                  <c:v>163651.54999999999</c:v>
                </c:pt>
                <c:pt idx="2">
                  <c:v>136356.04</c:v>
                </c:pt>
                <c:pt idx="3">
                  <c:v>106674.06</c:v>
                </c:pt>
                <c:pt idx="4">
                  <c:v>105228.99</c:v>
                </c:pt>
                <c:pt idx="5">
                  <c:v>59083.54</c:v>
                </c:pt>
                <c:pt idx="6">
                  <c:v>44629.22</c:v>
                </c:pt>
                <c:pt idx="7">
                  <c:v>37552.269999999997</c:v>
                </c:pt>
                <c:pt idx="8">
                  <c:v>26163.11</c:v>
                </c:pt>
                <c:pt idx="9">
                  <c:v>20926.21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38-49AC-835C-3447AA2FB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739912"/>
        <c:axId val="486739520"/>
      </c:barChart>
      <c:catAx>
        <c:axId val="4867399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39520"/>
        <c:crosses val="autoZero"/>
        <c:auto val="1"/>
        <c:lblAlgn val="ctr"/>
        <c:lblOffset val="100"/>
        <c:noMultiLvlLbl val="0"/>
      </c:catAx>
      <c:valAx>
        <c:axId val="48673952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673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34-4B7F-9FDA-8C06DE5ED8C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34-4B7F-9FDA-8C06DE5ED8C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834-4B7F-9FDA-8C06DE5ED8C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834-4B7F-9FDA-8C06DE5ED8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 September'!$C$57:$C$66</c:f>
              <c:strCache>
                <c:ptCount val="10"/>
                <c:pt idx="0">
                  <c:v>STERLING BANK OF ASIA</c:v>
                </c:pt>
                <c:pt idx="1">
                  <c:v>PRODUCERS SAVINGS BANK</c:v>
                </c:pt>
                <c:pt idx="2">
                  <c:v>FIRST CONSOLIDATED BANK</c:v>
                </c:pt>
                <c:pt idx="3">
                  <c:v>BPI DIRECT BANKO</c:v>
                </c:pt>
                <c:pt idx="4">
                  <c:v>BANK OF MAKATI</c:v>
                </c:pt>
                <c:pt idx="5">
                  <c:v>BDO NETWORK BANK INC</c:v>
                </c:pt>
                <c:pt idx="6">
                  <c:v>PHIL BUSINESS BANK</c:v>
                </c:pt>
                <c:pt idx="7">
                  <c:v>CHINA BANK SAVINGS</c:v>
                </c:pt>
                <c:pt idx="8">
                  <c:v>CITY SAVINGS BANK</c:v>
                </c:pt>
                <c:pt idx="9">
                  <c:v>PHIL SAVINGS BANK</c:v>
                </c:pt>
              </c:strCache>
            </c:strRef>
          </c:cat>
          <c:val>
            <c:numRef>
              <c:f>'2025 September'!$D$57:$D$66</c:f>
              <c:numCache>
                <c:formatCode>#,##0</c:formatCode>
                <c:ptCount val="10"/>
                <c:pt idx="0">
                  <c:v>5526.06</c:v>
                </c:pt>
                <c:pt idx="1">
                  <c:v>7563.36</c:v>
                </c:pt>
                <c:pt idx="2">
                  <c:v>8173.57</c:v>
                </c:pt>
                <c:pt idx="3">
                  <c:v>10342.33</c:v>
                </c:pt>
                <c:pt idx="4">
                  <c:v>16959.18</c:v>
                </c:pt>
                <c:pt idx="5">
                  <c:v>17901.400000000001</c:v>
                </c:pt>
                <c:pt idx="6">
                  <c:v>20794.189999999999</c:v>
                </c:pt>
                <c:pt idx="7">
                  <c:v>21095.84</c:v>
                </c:pt>
                <c:pt idx="8">
                  <c:v>21316.81</c:v>
                </c:pt>
                <c:pt idx="9">
                  <c:v>44729.74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34-4B7F-9FDA-8C06DE5ED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739128"/>
        <c:axId val="486740304"/>
      </c:barChart>
      <c:catAx>
        <c:axId val="486739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40304"/>
        <c:crosses val="autoZero"/>
        <c:auto val="1"/>
        <c:lblAlgn val="ctr"/>
        <c:lblOffset val="100"/>
        <c:noMultiLvlLbl val="0"/>
      </c:catAx>
      <c:valAx>
        <c:axId val="48674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39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DA-4C68-B5CE-9C79D275472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DA-4C68-B5CE-9C79D275472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DA-4C68-B5CE-9C79D2754721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5DA-4C68-B5CE-9C79D27547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'September 2025'!$C$28:$C$32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'September 2025'!$D$28:$D$32</c:f>
              <c:numCache>
                <c:formatCode>#,##0</c:formatCode>
                <c:ptCount val="5"/>
                <c:pt idx="0">
                  <c:v>119996.33</c:v>
                </c:pt>
                <c:pt idx="1">
                  <c:v>52933.17</c:v>
                </c:pt>
                <c:pt idx="2">
                  <c:v>39041.57</c:v>
                </c:pt>
                <c:pt idx="3">
                  <c:v>32159.4</c:v>
                </c:pt>
                <c:pt idx="4">
                  <c:v>20193.04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DA-4C68-B5CE-9C79D2754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736776"/>
        <c:axId val="486730896"/>
      </c:barChart>
      <c:catAx>
        <c:axId val="486736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30896"/>
        <c:crosses val="autoZero"/>
        <c:auto val="0"/>
        <c:lblAlgn val="ctr"/>
        <c:lblOffset val="100"/>
        <c:noMultiLvlLbl val="0"/>
      </c:catAx>
      <c:valAx>
        <c:axId val="48673089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6736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55914415634955"/>
          <c:y val="5.2501467560707407E-2"/>
          <c:w val="0.62988290219769438"/>
          <c:h val="0.89499706487858521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37-4221-9B13-D19D073289C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37-4221-9B13-D19D073289CF}"/>
              </c:ext>
            </c:extLst>
          </c:dPt>
          <c:dLbls>
            <c:dLbl>
              <c:idx val="0"/>
              <c:layout>
                <c:manualLayout>
                  <c:x val="0.34445483835264251"/>
                  <c:y val="1.2112205045273024E-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9F37-4221-9B13-D19D073289CF}"/>
                </c:ext>
              </c:extLst>
            </c:dLbl>
            <c:dLbl>
              <c:idx val="1"/>
              <c:layout>
                <c:manualLayout>
                  <c:x val="0.17291629746904955"/>
                  <c:y val="6.0561025225483833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F37-4221-9B13-D19D073289CF}"/>
                </c:ext>
              </c:extLst>
            </c:dLbl>
            <c:dLbl>
              <c:idx val="3"/>
              <c:layout>
                <c:manualLayout>
                  <c:x val="0.11254440571196749"/>
                  <c:y val="1.2112205045096767E-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F37-4221-9B13-D19D073289CF}"/>
                </c:ext>
              </c:extLst>
            </c:dLbl>
            <c:dLbl>
              <c:idx val="4"/>
              <c:layout>
                <c:manualLayout>
                  <c:x val="0.10584601891114757"/>
                  <c:y val="6.0561025239584295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F37-4221-9B13-D19D073289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'September 2025'!$C$17:$C$21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'September 2025'!$D$17:$D$21</c:f>
              <c:numCache>
                <c:formatCode>#,##0</c:formatCode>
                <c:ptCount val="5"/>
                <c:pt idx="0">
                  <c:v>164937.5</c:v>
                </c:pt>
                <c:pt idx="1">
                  <c:v>67468.97</c:v>
                </c:pt>
                <c:pt idx="2">
                  <c:v>57466.75</c:v>
                </c:pt>
                <c:pt idx="3">
                  <c:v>42366.84</c:v>
                </c:pt>
                <c:pt idx="4">
                  <c:v>30453.37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37-4221-9B13-D19D07328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848464"/>
        <c:axId val="144853168"/>
      </c:barChart>
      <c:catAx>
        <c:axId val="1448484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3168"/>
        <c:crosses val="autoZero"/>
        <c:auto val="1"/>
        <c:lblAlgn val="ctr"/>
        <c:lblOffset val="100"/>
        <c:noMultiLvlLbl val="0"/>
      </c:catAx>
      <c:valAx>
        <c:axId val="144853168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4484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8F-4CED-9F9B-C0907E5C1CC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8F-4CED-9F9B-C0907E5C1CCA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68F-4CED-9F9B-C0907E5C1C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'September 2025'!$C$7:$C$11</c:f>
              <c:strCache>
                <c:ptCount val="5"/>
                <c:pt idx="0">
                  <c:v>PHIL BUSINESS BANK</c:v>
                </c:pt>
                <c:pt idx="1">
                  <c:v>STERLING BANK OF ASIA</c:v>
                </c:pt>
                <c:pt idx="2">
                  <c:v>BANK OF MAKATI</c:v>
                </c:pt>
                <c:pt idx="3">
                  <c:v>PRODUCERS SAVINGS BANK</c:v>
                </c:pt>
                <c:pt idx="4">
                  <c:v>FIRST CONSOLIDATED BANK</c:v>
                </c:pt>
              </c:strCache>
            </c:strRef>
          </c:cat>
          <c:val>
            <c:numRef>
              <c:f>'September 2025'!$D$7:$D$11</c:f>
              <c:numCache>
                <c:formatCode>#,##0</c:formatCode>
                <c:ptCount val="5"/>
                <c:pt idx="0">
                  <c:v>136356.04</c:v>
                </c:pt>
                <c:pt idx="1">
                  <c:v>59083.54</c:v>
                </c:pt>
                <c:pt idx="2">
                  <c:v>37522.269999999997</c:v>
                </c:pt>
                <c:pt idx="3">
                  <c:v>26163.11</c:v>
                </c:pt>
                <c:pt idx="4">
                  <c:v>20926.21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8F-4CED-9F9B-C0907E5C1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847288"/>
        <c:axId val="144847680"/>
      </c:barChart>
      <c:catAx>
        <c:axId val="144847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47680"/>
        <c:crosses val="autoZero"/>
        <c:auto val="1"/>
        <c:lblAlgn val="ctr"/>
        <c:lblOffset val="100"/>
        <c:noMultiLvlLbl val="0"/>
      </c:catAx>
      <c:valAx>
        <c:axId val="1448476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44847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FB-4716-92F2-4FF9C89817D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FB-4716-92F2-4FF9C89817D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CFB-4716-92F2-4FF9C89817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'September 2025'!$C$41:$C$45</c:f>
              <c:strCache>
                <c:ptCount val="5"/>
                <c:pt idx="0">
                  <c:v>STERLING BANK OF ASIA</c:v>
                </c:pt>
                <c:pt idx="1">
                  <c:v>PRODUCERS SAVINGS BANK</c:v>
                </c:pt>
                <c:pt idx="2">
                  <c:v>FIRST CONSOLIDATED BANK</c:v>
                </c:pt>
                <c:pt idx="3">
                  <c:v>BANK OF MAKATI</c:v>
                </c:pt>
                <c:pt idx="4">
                  <c:v>PHIL BUSINESS BANK</c:v>
                </c:pt>
              </c:strCache>
            </c:strRef>
          </c:cat>
          <c:val>
            <c:numRef>
              <c:f>'September 2025'!$D$41:$D$45</c:f>
              <c:numCache>
                <c:formatCode>#,##0</c:formatCode>
                <c:ptCount val="5"/>
                <c:pt idx="0">
                  <c:v>5526.06</c:v>
                </c:pt>
                <c:pt idx="1">
                  <c:v>7563.36</c:v>
                </c:pt>
                <c:pt idx="2">
                  <c:v>8173.57</c:v>
                </c:pt>
                <c:pt idx="3">
                  <c:v>16959.18</c:v>
                </c:pt>
                <c:pt idx="4">
                  <c:v>20794.189999999999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FB-4716-92F2-4FF9C8981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848856"/>
        <c:axId val="106024032"/>
      </c:barChart>
      <c:catAx>
        <c:axId val="144848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4032"/>
        <c:crosses val="autoZero"/>
        <c:auto val="1"/>
        <c:lblAlgn val="ctr"/>
        <c:lblOffset val="100"/>
        <c:noMultiLvlLbl val="0"/>
      </c:catAx>
      <c:valAx>
        <c:axId val="10602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48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255133</xdr:colOff>
      <xdr:row>33</xdr:row>
      <xdr:rowOff>184375</xdr:rowOff>
    </xdr:from>
    <xdr:to>
      <xdr:col>12</xdr:col>
      <xdr:colOff>413656</xdr:colOff>
      <xdr:row>49</xdr:row>
      <xdr:rowOff>122464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2B882-0BCA-4B06-A7A8-043DC4430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215431</xdr:colOff>
      <xdr:row>18</xdr:row>
      <xdr:rowOff>223837</xdr:rowOff>
    </xdr:from>
    <xdr:to>
      <xdr:col>11</xdr:col>
      <xdr:colOff>352185</xdr:colOff>
      <xdr:row>31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1E4A87-DF6F-49DB-8014-3E4DDF4B1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331614</xdr:colOff>
      <xdr:row>2</xdr:row>
      <xdr:rowOff>15647</xdr:rowOff>
    </xdr:from>
    <xdr:to>
      <xdr:col>12</xdr:col>
      <xdr:colOff>31296</xdr:colOff>
      <xdr:row>17</xdr:row>
      <xdr:rowOff>53747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ED4B82-F47E-4233-9DFD-55420B482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119743</xdr:colOff>
      <xdr:row>55</xdr:row>
      <xdr:rowOff>21772</xdr:rowOff>
    </xdr:from>
    <xdr:to>
      <xdr:col>12</xdr:col>
      <xdr:colOff>405493</xdr:colOff>
      <xdr:row>69</xdr:row>
      <xdr:rowOff>10886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45C48E-BFC3-47BB-923E-830CB2ABB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309562</xdr:colOff>
      <xdr:row>23</xdr:row>
      <xdr:rowOff>61911</xdr:rowOff>
    </xdr:from>
    <xdr:to>
      <xdr:col>12</xdr:col>
      <xdr:colOff>468085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CDBD3-5942-4818-91C4-BC181F66B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271461</xdr:colOff>
      <xdr:row>13</xdr:row>
      <xdr:rowOff>6123</xdr:rowOff>
    </xdr:from>
    <xdr:to>
      <xdr:col>11</xdr:col>
      <xdr:colOff>566056</xdr:colOff>
      <xdr:row>21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F086AC-2D88-4D85-8210-26166A48A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297997</xdr:colOff>
      <xdr:row>2</xdr:row>
      <xdr:rowOff>15647</xdr:rowOff>
    </xdr:from>
    <xdr:to>
      <xdr:col>11</xdr:col>
      <xdr:colOff>602797</xdr:colOff>
      <xdr:row>11</xdr:row>
      <xdr:rowOff>53747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CBC2B6-A71C-46B1-8ECE-BBA8AD17A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227320</xdr:colOff>
      <xdr:row>37</xdr:row>
      <xdr:rowOff>86446</xdr:rowOff>
    </xdr:from>
    <xdr:to>
      <xdr:col>12</xdr:col>
      <xdr:colOff>513070</xdr:colOff>
      <xdr:row>49</xdr:row>
      <xdr:rowOff>75561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064AEA-7A42-4F89-BF35-7BDA3FBB9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240420</xdr:colOff>
      <xdr:row>19</xdr:row>
      <xdr:rowOff>63770</xdr:rowOff>
    </xdr:from>
    <xdr:to>
      <xdr:col>20</xdr:col>
      <xdr:colOff>567427</xdr:colOff>
      <xdr:row>33</xdr:row>
      <xdr:rowOff>107372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95761</xdr:colOff>
      <xdr:row>3</xdr:row>
      <xdr:rowOff>56640</xdr:rowOff>
    </xdr:from>
    <xdr:to>
      <xdr:col>20</xdr:col>
      <xdr:colOff>429900</xdr:colOff>
      <xdr:row>17</xdr:row>
      <xdr:rowOff>99222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374889</xdr:colOff>
      <xdr:row>36</xdr:row>
      <xdr:rowOff>96371</xdr:rowOff>
    </xdr:from>
    <xdr:to>
      <xdr:col>21</xdr:col>
      <xdr:colOff>102892</xdr:colOff>
      <xdr:row>50</xdr:row>
      <xdr:rowOff>173589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439229</xdr:colOff>
      <xdr:row>56</xdr:row>
      <xdr:rowOff>21131</xdr:rowOff>
    </xdr:from>
    <xdr:to>
      <xdr:col>21</xdr:col>
      <xdr:colOff>110256</xdr:colOff>
      <xdr:row>70</xdr:row>
      <xdr:rowOff>111339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598714</xdr:colOff>
      <xdr:row>70</xdr:row>
      <xdr:rowOff>81642</xdr:rowOff>
    </xdr:from>
    <xdr:to>
      <xdr:col>11</xdr:col>
      <xdr:colOff>1319892</xdr:colOff>
      <xdr:row>81</xdr:row>
      <xdr:rowOff>40821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312964</xdr:colOff>
      <xdr:row>82</xdr:row>
      <xdr:rowOff>29935</xdr:rowOff>
    </xdr:from>
    <xdr:to>
      <xdr:col>11</xdr:col>
      <xdr:colOff>1632856</xdr:colOff>
      <xdr:row>93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380200</xdr:colOff>
      <xdr:row>91</xdr:row>
      <xdr:rowOff>147598</xdr:rowOff>
    </xdr:from>
    <xdr:to>
      <xdr:col>11</xdr:col>
      <xdr:colOff>1713700</xdr:colOff>
      <xdr:row>103</xdr:row>
      <xdr:rowOff>29616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122462</xdr:colOff>
      <xdr:row>101</xdr:row>
      <xdr:rowOff>108858</xdr:rowOff>
    </xdr:from>
    <xdr:to>
      <xdr:col>21</xdr:col>
      <xdr:colOff>95250</xdr:colOff>
      <xdr:row>112</xdr:row>
      <xdr:rowOff>51707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240420</xdr:colOff>
      <xdr:row>19</xdr:row>
      <xdr:rowOff>63770</xdr:rowOff>
    </xdr:from>
    <xdr:to>
      <xdr:col>20</xdr:col>
      <xdr:colOff>567427</xdr:colOff>
      <xdr:row>33</xdr:row>
      <xdr:rowOff>107372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95761</xdr:colOff>
      <xdr:row>3</xdr:row>
      <xdr:rowOff>56640</xdr:rowOff>
    </xdr:from>
    <xdr:to>
      <xdr:col>20</xdr:col>
      <xdr:colOff>429900</xdr:colOff>
      <xdr:row>17</xdr:row>
      <xdr:rowOff>99222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374889</xdr:colOff>
      <xdr:row>36</xdr:row>
      <xdr:rowOff>96371</xdr:rowOff>
    </xdr:from>
    <xdr:to>
      <xdr:col>21</xdr:col>
      <xdr:colOff>102892</xdr:colOff>
      <xdr:row>50</xdr:row>
      <xdr:rowOff>173589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304759</xdr:colOff>
      <xdr:row>56</xdr:row>
      <xdr:rowOff>21131</xdr:rowOff>
    </xdr:from>
    <xdr:to>
      <xdr:col>20</xdr:col>
      <xdr:colOff>580904</xdr:colOff>
      <xdr:row>70</xdr:row>
      <xdr:rowOff>111339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598714</xdr:colOff>
      <xdr:row>70</xdr:row>
      <xdr:rowOff>81642</xdr:rowOff>
    </xdr:from>
    <xdr:to>
      <xdr:col>11</xdr:col>
      <xdr:colOff>1319892</xdr:colOff>
      <xdr:row>81</xdr:row>
      <xdr:rowOff>40821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312964</xdr:colOff>
      <xdr:row>82</xdr:row>
      <xdr:rowOff>29935</xdr:rowOff>
    </xdr:from>
    <xdr:to>
      <xdr:col>11</xdr:col>
      <xdr:colOff>1632856</xdr:colOff>
      <xdr:row>93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312964</xdr:colOff>
      <xdr:row>93</xdr:row>
      <xdr:rowOff>125187</xdr:rowOff>
    </xdr:from>
    <xdr:to>
      <xdr:col>11</xdr:col>
      <xdr:colOff>1646464</xdr:colOff>
      <xdr:row>105</xdr:row>
      <xdr:rowOff>40822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122462</xdr:colOff>
      <xdr:row>101</xdr:row>
      <xdr:rowOff>108858</xdr:rowOff>
    </xdr:from>
    <xdr:to>
      <xdr:col>21</xdr:col>
      <xdr:colOff>95250</xdr:colOff>
      <xdr:row>112</xdr:row>
      <xdr:rowOff>51707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255133</xdr:colOff>
      <xdr:row>33</xdr:row>
      <xdr:rowOff>184375</xdr:rowOff>
    </xdr:from>
    <xdr:to>
      <xdr:col>12</xdr:col>
      <xdr:colOff>413656</xdr:colOff>
      <xdr:row>49</xdr:row>
      <xdr:rowOff>122464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2B882-0BCA-4B06-A7A8-043DC4430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215431</xdr:colOff>
      <xdr:row>18</xdr:row>
      <xdr:rowOff>223837</xdr:rowOff>
    </xdr:from>
    <xdr:to>
      <xdr:col>11</xdr:col>
      <xdr:colOff>352185</xdr:colOff>
      <xdr:row>31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1E4A87-DF6F-49DB-8014-3E4DDF4B1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331614</xdr:colOff>
      <xdr:row>2</xdr:row>
      <xdr:rowOff>15647</xdr:rowOff>
    </xdr:from>
    <xdr:to>
      <xdr:col>12</xdr:col>
      <xdr:colOff>31296</xdr:colOff>
      <xdr:row>17</xdr:row>
      <xdr:rowOff>53747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ED4B82-F47E-4233-9DFD-55420B482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119743</xdr:colOff>
      <xdr:row>55</xdr:row>
      <xdr:rowOff>21772</xdr:rowOff>
    </xdr:from>
    <xdr:to>
      <xdr:col>12</xdr:col>
      <xdr:colOff>405493</xdr:colOff>
      <xdr:row>69</xdr:row>
      <xdr:rowOff>10886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45C48E-BFC3-47BB-923E-830CB2ABB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309562</xdr:colOff>
      <xdr:row>23</xdr:row>
      <xdr:rowOff>61911</xdr:rowOff>
    </xdr:from>
    <xdr:to>
      <xdr:col>12</xdr:col>
      <xdr:colOff>468085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CDBD3-5942-4818-91C4-BC181F66B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271461</xdr:colOff>
      <xdr:row>13</xdr:row>
      <xdr:rowOff>6123</xdr:rowOff>
    </xdr:from>
    <xdr:to>
      <xdr:col>11</xdr:col>
      <xdr:colOff>566056</xdr:colOff>
      <xdr:row>21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F086AC-2D88-4D85-8210-26166A48A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297997</xdr:colOff>
      <xdr:row>2</xdr:row>
      <xdr:rowOff>15647</xdr:rowOff>
    </xdr:from>
    <xdr:to>
      <xdr:col>11</xdr:col>
      <xdr:colOff>602797</xdr:colOff>
      <xdr:row>11</xdr:row>
      <xdr:rowOff>53747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CBC2B6-A71C-46B1-8ECE-BBA8AD17A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272143</xdr:colOff>
      <xdr:row>37</xdr:row>
      <xdr:rowOff>108858</xdr:rowOff>
    </xdr:from>
    <xdr:to>
      <xdr:col>12</xdr:col>
      <xdr:colOff>557893</xdr:colOff>
      <xdr:row>49</xdr:row>
      <xdr:rowOff>97973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064AEA-7A42-4F89-BF35-7BDA3FBB9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sp.gov.ph/Statistics/Financial%20Statements/Thrift/loans.aspx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bsp.gov.ph/Statistics/Financial%20Statements/Thrift/assets.aspx" TargetMode="External"/><Relationship Id="rId1" Type="http://schemas.openxmlformats.org/officeDocument/2006/relationships/hyperlink" Target="https://www.bsp.gov.ph/SitePages/Statistics/BSFinancialStatements.aspx?TabId=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bsp.gov.ph/Statistics/Financial%20Statements/Thrift/Deposits.aspx" TargetMode="External"/><Relationship Id="rId4" Type="http://schemas.openxmlformats.org/officeDocument/2006/relationships/hyperlink" Target="https://www.bsp.gov.ph/Statistics/Financial%20Statements/Thrift/Equity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sp.gov.ph/Statistics/Financial%20Statements/Thrift/Equity.aspx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bsp.gov.ph/Statistics/Financial%20Statements/Thrift/assets.aspx" TargetMode="External"/><Relationship Id="rId1" Type="http://schemas.openxmlformats.org/officeDocument/2006/relationships/hyperlink" Target="https://www.bsp.gov.ph/SitePages/Statistics/BSFinancialStatements.aspx?TabId=1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bsp.gov.ph/Statistics/Financial%20Statements/Thrift/deposit.aspx" TargetMode="External"/><Relationship Id="rId4" Type="http://schemas.openxmlformats.org/officeDocument/2006/relationships/hyperlink" Target="https://www.bsp.gov.ph/Statistics/Financial%20Statements/Thrift/loans.asp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sp.gov.ph/Statistics/Financial%20Statements/Thrift/loans.aspx" TargetMode="External"/><Relationship Id="rId7" Type="http://schemas.openxmlformats.org/officeDocument/2006/relationships/drawing" Target="../drawings/drawing5.xml"/><Relationship Id="rId2" Type="http://schemas.openxmlformats.org/officeDocument/2006/relationships/hyperlink" Target="https://www.bsp.gov.ph/Statistics/Financial%20Statements/Thrift/assets.aspx" TargetMode="External"/><Relationship Id="rId1" Type="http://schemas.openxmlformats.org/officeDocument/2006/relationships/hyperlink" Target="https://www.bsp.gov.ph/SitePages/Statistics/BSFinancialStatements.aspx?TabId=1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s://www.bsp.gov.ph/Statistics/Financial%20Statements/Thrift/Deposits.aspx" TargetMode="External"/><Relationship Id="rId4" Type="http://schemas.openxmlformats.org/officeDocument/2006/relationships/hyperlink" Target="https://www.bsp.gov.ph/Statistics/Financial%20Statements/Thrift/capital.asp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sp.gov.ph/Statistics/Financial%20Statements/Thrift/capital.aspx" TargetMode="External"/><Relationship Id="rId7" Type="http://schemas.openxmlformats.org/officeDocument/2006/relationships/drawing" Target="../drawings/drawing6.xml"/><Relationship Id="rId2" Type="http://schemas.openxmlformats.org/officeDocument/2006/relationships/hyperlink" Target="https://www.bsp.gov.ph/Statistics/Financial%20Statements/Thrift/assets.aspx" TargetMode="External"/><Relationship Id="rId1" Type="http://schemas.openxmlformats.org/officeDocument/2006/relationships/hyperlink" Target="https://www.bsp.gov.ph/SitePages/Statistics/BSFinancialStatements.aspx?TabId=1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https://www.bsp.gov.ph/Statistics/Financial%20Statements/Thrift/deposit.aspx" TargetMode="External"/><Relationship Id="rId4" Type="http://schemas.openxmlformats.org/officeDocument/2006/relationships/hyperlink" Target="https://www.bsp.gov.ph/Statistics/Financial%20Statements/Thrift/loan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85"/>
  <sheetViews>
    <sheetView tabSelected="1" zoomScale="70" zoomScaleNormal="70" workbookViewId="0">
      <selection activeCell="L74" sqref="L74"/>
    </sheetView>
  </sheetViews>
  <sheetFormatPr defaultRowHeight="15" x14ac:dyDescent="0.25"/>
  <cols>
    <col min="2" max="2" width="3" bestFit="1" customWidth="1"/>
    <col min="3" max="3" width="43.42578125" customWidth="1"/>
    <col min="4" max="4" width="10.140625" customWidth="1"/>
    <col min="5" max="5" width="12.140625" style="2" customWidth="1"/>
    <col min="6" max="6" width="15" bestFit="1" customWidth="1"/>
    <col min="7" max="7" width="28.7109375" bestFit="1" customWidth="1"/>
    <col min="8" max="8" width="15.7109375" bestFit="1" customWidth="1"/>
    <col min="9" max="9" width="17.85546875" customWidth="1"/>
    <col min="10" max="10" width="16" bestFit="1" customWidth="1"/>
    <col min="12" max="12" width="9.140625" customWidth="1"/>
    <col min="13" max="13" width="73.28515625" bestFit="1" customWidth="1"/>
  </cols>
  <sheetData>
    <row r="1" spans="1:13" x14ac:dyDescent="0.25">
      <c r="A1" s="1" t="s">
        <v>0</v>
      </c>
    </row>
    <row r="3" spans="1:13" ht="18" x14ac:dyDescent="0.25">
      <c r="A3" s="56" t="s">
        <v>1</v>
      </c>
      <c r="B3" s="56"/>
      <c r="C3" s="56"/>
      <c r="D3" s="3"/>
      <c r="M3" s="1" t="s">
        <v>2</v>
      </c>
    </row>
    <row r="4" spans="1:13" x14ac:dyDescent="0.25">
      <c r="A4" s="4"/>
      <c r="B4" s="53" t="s">
        <v>3</v>
      </c>
      <c r="C4" s="53"/>
      <c r="D4" s="53"/>
      <c r="M4" s="1"/>
    </row>
    <row r="5" spans="1:13" x14ac:dyDescent="0.25">
      <c r="A5" s="4"/>
      <c r="B5" s="53" t="s">
        <v>35</v>
      </c>
      <c r="C5" s="53"/>
      <c r="D5" s="53"/>
    </row>
    <row r="6" spans="1:13" x14ac:dyDescent="0.25">
      <c r="A6" s="4"/>
      <c r="B6" s="53" t="s">
        <v>5</v>
      </c>
      <c r="C6" s="53"/>
      <c r="D6" s="53"/>
    </row>
    <row r="7" spans="1:13" x14ac:dyDescent="0.25">
      <c r="A7" s="5"/>
      <c r="B7" s="6">
        <v>1</v>
      </c>
      <c r="C7" s="7" t="s">
        <v>6</v>
      </c>
      <c r="D7" s="8">
        <v>191444.7</v>
      </c>
    </row>
    <row r="8" spans="1:13" x14ac:dyDescent="0.25">
      <c r="A8" s="5"/>
      <c r="B8" s="6">
        <v>2</v>
      </c>
      <c r="C8" s="7" t="s">
        <v>7</v>
      </c>
      <c r="D8" s="8">
        <v>177200.83</v>
      </c>
    </row>
    <row r="9" spans="1:13" x14ac:dyDescent="0.25">
      <c r="A9" s="5"/>
      <c r="B9" s="6">
        <v>3</v>
      </c>
      <c r="C9" s="7" t="s">
        <v>8</v>
      </c>
      <c r="D9" s="8">
        <v>134200.91</v>
      </c>
    </row>
    <row r="10" spans="1:13" x14ac:dyDescent="0.25">
      <c r="A10" s="5"/>
      <c r="B10" s="6">
        <v>4</v>
      </c>
      <c r="C10" s="7" t="s">
        <v>9</v>
      </c>
      <c r="D10" s="8">
        <v>113725.37</v>
      </c>
    </row>
    <row r="11" spans="1:13" x14ac:dyDescent="0.25">
      <c r="A11" s="5"/>
      <c r="B11" s="6">
        <v>5</v>
      </c>
      <c r="C11" s="7" t="s">
        <v>10</v>
      </c>
      <c r="D11" s="8">
        <v>107207.15</v>
      </c>
    </row>
    <row r="12" spans="1:13" x14ac:dyDescent="0.25">
      <c r="A12" s="5"/>
      <c r="B12" s="6">
        <v>6</v>
      </c>
      <c r="C12" s="9" t="s">
        <v>11</v>
      </c>
      <c r="D12" s="10">
        <v>67035.22</v>
      </c>
    </row>
    <row r="13" spans="1:13" x14ac:dyDescent="0.25">
      <c r="A13" s="5"/>
      <c r="B13" s="6">
        <v>7</v>
      </c>
      <c r="C13" s="7" t="s">
        <v>12</v>
      </c>
      <c r="D13" s="8">
        <v>50737.04</v>
      </c>
    </row>
    <row r="14" spans="1:13" x14ac:dyDescent="0.25">
      <c r="A14" s="5"/>
      <c r="B14" s="6">
        <v>8</v>
      </c>
      <c r="C14" s="7" t="s">
        <v>13</v>
      </c>
      <c r="D14" s="8">
        <v>39097.449999999997</v>
      </c>
    </row>
    <row r="15" spans="1:13" x14ac:dyDescent="0.25">
      <c r="A15" s="5"/>
      <c r="B15" s="6">
        <v>9</v>
      </c>
      <c r="C15" s="7" t="s">
        <v>14</v>
      </c>
      <c r="D15" s="8">
        <v>27872.93</v>
      </c>
    </row>
    <row r="16" spans="1:13" x14ac:dyDescent="0.25">
      <c r="A16" s="5"/>
      <c r="B16" s="6">
        <v>10</v>
      </c>
      <c r="C16" s="7" t="s">
        <v>15</v>
      </c>
      <c r="D16" s="8">
        <v>22922.720000000001</v>
      </c>
    </row>
    <row r="17" spans="1:13" x14ac:dyDescent="0.25">
      <c r="A17" s="5"/>
    </row>
    <row r="18" spans="1:13" x14ac:dyDescent="0.25">
      <c r="C18" s="11"/>
      <c r="D18" s="8"/>
    </row>
    <row r="19" spans="1:13" ht="18" x14ac:dyDescent="0.25">
      <c r="A19" s="4"/>
      <c r="B19" s="56" t="s">
        <v>16</v>
      </c>
      <c r="C19" s="56"/>
      <c r="D19" s="56"/>
      <c r="M19" s="1" t="s">
        <v>17</v>
      </c>
    </row>
    <row r="20" spans="1:13" x14ac:dyDescent="0.25">
      <c r="A20" s="4"/>
      <c r="B20" s="53" t="s">
        <v>35</v>
      </c>
      <c r="C20" s="53"/>
      <c r="D20" s="53"/>
    </row>
    <row r="21" spans="1:13" x14ac:dyDescent="0.25">
      <c r="A21" s="4"/>
      <c r="B21" s="53" t="s">
        <v>5</v>
      </c>
      <c r="C21" s="53"/>
      <c r="D21" s="53"/>
    </row>
    <row r="22" spans="1:13" x14ac:dyDescent="0.25">
      <c r="B22" s="12">
        <v>1</v>
      </c>
      <c r="C22" s="7" t="s">
        <v>7</v>
      </c>
      <c r="D22" s="13">
        <v>232588.73</v>
      </c>
    </row>
    <row r="23" spans="1:13" x14ac:dyDescent="0.25">
      <c r="A23" s="5"/>
      <c r="B23" s="12">
        <v>2</v>
      </c>
      <c r="C23" s="7" t="s">
        <v>6</v>
      </c>
      <c r="D23" s="13">
        <v>217536.44</v>
      </c>
    </row>
    <row r="24" spans="1:13" x14ac:dyDescent="0.25">
      <c r="A24" s="5"/>
      <c r="B24" s="12">
        <v>3</v>
      </c>
      <c r="C24" s="7" t="s">
        <v>10</v>
      </c>
      <c r="D24" s="13">
        <v>171953.32</v>
      </c>
    </row>
    <row r="25" spans="1:13" x14ac:dyDescent="0.25">
      <c r="A25" s="5"/>
      <c r="B25" s="12">
        <v>4</v>
      </c>
      <c r="C25" s="7" t="s">
        <v>8</v>
      </c>
      <c r="D25" s="13">
        <v>164973.21</v>
      </c>
    </row>
    <row r="26" spans="1:13" x14ac:dyDescent="0.25">
      <c r="A26" s="5"/>
      <c r="B26" s="12">
        <v>5</v>
      </c>
      <c r="C26" s="7" t="s">
        <v>9</v>
      </c>
      <c r="D26" s="13">
        <v>159509.10999999999</v>
      </c>
    </row>
    <row r="27" spans="1:13" x14ac:dyDescent="0.25">
      <c r="A27" s="5"/>
      <c r="B27" s="12">
        <v>6</v>
      </c>
      <c r="C27" s="9" t="s">
        <v>11</v>
      </c>
      <c r="D27" s="14">
        <v>75573.179999999993</v>
      </c>
    </row>
    <row r="28" spans="1:13" x14ac:dyDescent="0.25">
      <c r="A28" s="5"/>
      <c r="B28" s="12">
        <v>7</v>
      </c>
      <c r="C28" s="7" t="s">
        <v>12</v>
      </c>
      <c r="D28" s="13">
        <v>67616.02</v>
      </c>
    </row>
    <row r="29" spans="1:13" x14ac:dyDescent="0.25">
      <c r="A29" s="5"/>
      <c r="B29" s="12">
        <v>8</v>
      </c>
      <c r="C29" s="7" t="s">
        <v>13</v>
      </c>
      <c r="D29" s="13">
        <v>60825.53</v>
      </c>
    </row>
    <row r="30" spans="1:13" x14ac:dyDescent="0.25">
      <c r="A30" s="5"/>
      <c r="B30" s="12">
        <v>9</v>
      </c>
      <c r="C30" s="7" t="s">
        <v>14</v>
      </c>
      <c r="D30" s="13">
        <v>46913.16</v>
      </c>
    </row>
    <row r="31" spans="1:13" x14ac:dyDescent="0.25">
      <c r="A31" s="5"/>
      <c r="B31" s="12">
        <v>10</v>
      </c>
      <c r="C31" s="7" t="s">
        <v>15</v>
      </c>
      <c r="D31" s="13">
        <v>32864.5</v>
      </c>
    </row>
    <row r="32" spans="1:13" x14ac:dyDescent="0.25">
      <c r="A32" s="5"/>
    </row>
    <row r="34" spans="1:13" x14ac:dyDescent="0.25">
      <c r="C34" s="11"/>
    </row>
    <row r="35" spans="1:13" ht="18" x14ac:dyDescent="0.25">
      <c r="A35" s="56" t="s">
        <v>18</v>
      </c>
      <c r="B35" s="56"/>
      <c r="C35" s="56"/>
      <c r="D35" s="3"/>
      <c r="M35" s="1" t="s">
        <v>19</v>
      </c>
    </row>
    <row r="36" spans="1:13" x14ac:dyDescent="0.25">
      <c r="A36" s="4"/>
      <c r="B36" s="53" t="s">
        <v>3</v>
      </c>
      <c r="C36" s="53"/>
      <c r="D36" s="53"/>
      <c r="M36" s="1"/>
    </row>
    <row r="37" spans="1:13" x14ac:dyDescent="0.25">
      <c r="A37" s="4"/>
      <c r="B37" s="53" t="s">
        <v>35</v>
      </c>
      <c r="C37" s="53"/>
      <c r="D37" s="53"/>
    </row>
    <row r="38" spans="1:13" x14ac:dyDescent="0.25">
      <c r="A38" s="4"/>
      <c r="B38" s="53" t="s">
        <v>5</v>
      </c>
      <c r="C38" s="53"/>
      <c r="D38" s="53"/>
    </row>
    <row r="39" spans="1:13" x14ac:dyDescent="0.25">
      <c r="A39" s="5"/>
      <c r="B39" s="12">
        <v>1</v>
      </c>
      <c r="C39" s="11" t="s">
        <v>7</v>
      </c>
      <c r="D39" s="13">
        <v>159342.78</v>
      </c>
    </row>
    <row r="40" spans="1:13" x14ac:dyDescent="0.25">
      <c r="A40" s="5"/>
      <c r="B40" s="12">
        <v>2</v>
      </c>
      <c r="C40" s="7" t="s">
        <v>6</v>
      </c>
      <c r="D40" s="13">
        <v>154470.63</v>
      </c>
    </row>
    <row r="41" spans="1:13" x14ac:dyDescent="0.25">
      <c r="A41" s="5"/>
      <c r="B41" s="12">
        <v>3</v>
      </c>
      <c r="C41" s="7" t="s">
        <v>9</v>
      </c>
      <c r="D41" s="13">
        <v>126959.29</v>
      </c>
    </row>
    <row r="42" spans="1:13" x14ac:dyDescent="0.25">
      <c r="A42" s="5"/>
      <c r="B42" s="12">
        <v>4</v>
      </c>
      <c r="C42" s="7" t="s">
        <v>8</v>
      </c>
      <c r="D42" s="13">
        <v>124407.09</v>
      </c>
    </row>
    <row r="43" spans="1:13" x14ac:dyDescent="0.25">
      <c r="A43" s="5"/>
      <c r="B43" s="12">
        <v>5</v>
      </c>
      <c r="C43" s="7" t="s">
        <v>10</v>
      </c>
      <c r="D43" s="13">
        <v>116198.95</v>
      </c>
    </row>
    <row r="44" spans="1:13" x14ac:dyDescent="0.25">
      <c r="A44" s="5"/>
      <c r="B44" s="12">
        <v>6</v>
      </c>
      <c r="C44" s="9" t="s">
        <v>11</v>
      </c>
      <c r="D44" s="14">
        <v>61160.59</v>
      </c>
    </row>
    <row r="45" spans="1:13" x14ac:dyDescent="0.25">
      <c r="A45" s="5"/>
      <c r="B45" s="12">
        <v>7</v>
      </c>
      <c r="C45" s="7" t="s">
        <v>12</v>
      </c>
      <c r="D45" s="13">
        <v>44631.69</v>
      </c>
    </row>
    <row r="46" spans="1:13" x14ac:dyDescent="0.25">
      <c r="A46" s="5"/>
      <c r="B46" s="12">
        <v>8</v>
      </c>
      <c r="C46" s="7" t="s">
        <v>13</v>
      </c>
      <c r="D46" s="13">
        <v>42741.19</v>
      </c>
    </row>
    <row r="47" spans="1:13" x14ac:dyDescent="0.25">
      <c r="A47" s="5"/>
      <c r="B47" s="12">
        <v>9</v>
      </c>
      <c r="C47" s="7" t="s">
        <v>14</v>
      </c>
      <c r="D47" s="13">
        <v>34363.25</v>
      </c>
    </row>
    <row r="48" spans="1:13" x14ac:dyDescent="0.25">
      <c r="A48" s="5"/>
      <c r="B48" s="12">
        <v>10</v>
      </c>
      <c r="C48" s="7" t="s">
        <v>15</v>
      </c>
      <c r="D48" s="13">
        <v>21151.35</v>
      </c>
    </row>
    <row r="49" spans="1:13" x14ac:dyDescent="0.25">
      <c r="A49" s="5"/>
      <c r="C49" s="7"/>
    </row>
    <row r="52" spans="1:13" ht="18" x14ac:dyDescent="0.25">
      <c r="A52" s="56" t="s">
        <v>20</v>
      </c>
      <c r="B52" s="56"/>
      <c r="C52" s="56"/>
      <c r="D52" s="56"/>
      <c r="E52" s="15"/>
      <c r="F52" s="2"/>
      <c r="M52" s="1" t="s">
        <v>36</v>
      </c>
    </row>
    <row r="53" spans="1:13" x14ac:dyDescent="0.25">
      <c r="A53" s="4"/>
      <c r="B53" s="53" t="s">
        <v>3</v>
      </c>
      <c r="C53" s="53"/>
      <c r="D53" s="53"/>
      <c r="E53" s="53"/>
      <c r="F53" s="16"/>
      <c r="G53" s="17"/>
    </row>
    <row r="54" spans="1:13" x14ac:dyDescent="0.25">
      <c r="A54" s="4"/>
      <c r="B54" s="53" t="s">
        <v>35</v>
      </c>
      <c r="C54" s="53"/>
      <c r="D54" s="53"/>
      <c r="E54" s="53"/>
      <c r="F54" s="16"/>
      <c r="G54" s="17"/>
    </row>
    <row r="55" spans="1:13" x14ac:dyDescent="0.25">
      <c r="A55" s="4"/>
      <c r="B55" s="53" t="s">
        <v>5</v>
      </c>
      <c r="C55" s="53"/>
      <c r="D55" s="53"/>
      <c r="E55" s="53"/>
      <c r="F55" s="2"/>
    </row>
    <row r="56" spans="1:13" x14ac:dyDescent="0.25">
      <c r="B56" s="18" t="s">
        <v>22</v>
      </c>
      <c r="C56" s="18" t="s">
        <v>23</v>
      </c>
      <c r="D56" s="54" t="s">
        <v>24</v>
      </c>
      <c r="E56" s="55"/>
      <c r="F56" s="19"/>
    </row>
    <row r="57" spans="1:13" s="2" customFormat="1" x14ac:dyDescent="0.25">
      <c r="A57"/>
      <c r="B57">
        <v>1</v>
      </c>
      <c r="C57" s="11" t="s">
        <v>7</v>
      </c>
      <c r="D57" s="13">
        <v>44269</v>
      </c>
      <c r="F57"/>
      <c r="G57"/>
      <c r="H57"/>
      <c r="I57"/>
      <c r="J57"/>
      <c r="K57"/>
      <c r="L57"/>
      <c r="M57"/>
    </row>
    <row r="58" spans="1:13" s="2" customFormat="1" x14ac:dyDescent="0.25">
      <c r="A58"/>
      <c r="B58">
        <v>2</v>
      </c>
      <c r="C58" s="7" t="s">
        <v>10</v>
      </c>
      <c r="D58" s="13">
        <v>22377.7</v>
      </c>
      <c r="F58"/>
      <c r="G58"/>
      <c r="H58"/>
      <c r="I58"/>
      <c r="J58"/>
      <c r="K58"/>
      <c r="L58"/>
      <c r="M58"/>
    </row>
    <row r="59" spans="1:13" s="2" customFormat="1" x14ac:dyDescent="0.25">
      <c r="A59"/>
      <c r="B59">
        <v>3</v>
      </c>
      <c r="C59" s="7" t="s">
        <v>6</v>
      </c>
      <c r="D59" s="13">
        <v>21832.33</v>
      </c>
      <c r="F59"/>
      <c r="G59"/>
      <c r="H59"/>
      <c r="I59"/>
      <c r="J59"/>
      <c r="K59"/>
      <c r="L59"/>
      <c r="M59"/>
    </row>
    <row r="60" spans="1:13" s="2" customFormat="1" x14ac:dyDescent="0.25">
      <c r="A60"/>
      <c r="B60">
        <v>4</v>
      </c>
      <c r="C60" s="7" t="s">
        <v>8</v>
      </c>
      <c r="D60" s="13">
        <v>21088.560000000001</v>
      </c>
      <c r="F60"/>
      <c r="G60"/>
      <c r="H60"/>
      <c r="I60"/>
      <c r="J60"/>
      <c r="K60"/>
      <c r="L60"/>
      <c r="M60"/>
    </row>
    <row r="61" spans="1:13" s="2" customFormat="1" x14ac:dyDescent="0.25">
      <c r="A61"/>
      <c r="B61">
        <v>5</v>
      </c>
      <c r="C61" s="7" t="s">
        <v>9</v>
      </c>
      <c r="D61" s="13">
        <v>19984.830000000002</v>
      </c>
      <c r="F61"/>
      <c r="G61"/>
      <c r="H61"/>
      <c r="I61"/>
      <c r="J61"/>
      <c r="K61"/>
      <c r="L61"/>
      <c r="M61"/>
    </row>
    <row r="62" spans="1:13" s="2" customFormat="1" x14ac:dyDescent="0.25">
      <c r="A62"/>
      <c r="B62">
        <v>6</v>
      </c>
      <c r="C62" s="7" t="s">
        <v>13</v>
      </c>
      <c r="D62" s="13">
        <v>18736.310000000001</v>
      </c>
      <c r="F62"/>
      <c r="G62"/>
      <c r="H62"/>
      <c r="I62"/>
      <c r="J62"/>
      <c r="K62"/>
      <c r="L62"/>
      <c r="M62"/>
    </row>
    <row r="63" spans="1:13" s="2" customFormat="1" x14ac:dyDescent="0.25">
      <c r="A63"/>
      <c r="B63">
        <v>7</v>
      </c>
      <c r="C63" s="7" t="s">
        <v>12</v>
      </c>
      <c r="D63" s="13">
        <v>11853.33</v>
      </c>
      <c r="F63"/>
      <c r="G63"/>
      <c r="H63"/>
      <c r="I63"/>
      <c r="J63"/>
      <c r="K63"/>
      <c r="L63"/>
      <c r="M63"/>
    </row>
    <row r="64" spans="1:13" s="2" customFormat="1" x14ac:dyDescent="0.25">
      <c r="A64"/>
      <c r="B64">
        <v>8</v>
      </c>
      <c r="C64" s="11" t="s">
        <v>15</v>
      </c>
      <c r="D64" s="13">
        <v>8646.9500000000007</v>
      </c>
      <c r="F64"/>
      <c r="G64"/>
      <c r="H64"/>
      <c r="I64"/>
      <c r="J64"/>
      <c r="K64"/>
      <c r="L64"/>
      <c r="M64"/>
    </row>
    <row r="65" spans="1:13" s="2" customFormat="1" x14ac:dyDescent="0.25">
      <c r="A65"/>
      <c r="B65">
        <v>9</v>
      </c>
      <c r="C65" s="7" t="s">
        <v>14</v>
      </c>
      <c r="D65" s="20">
        <v>8420.7900000000009</v>
      </c>
      <c r="F65"/>
      <c r="G65"/>
      <c r="H65"/>
      <c r="I65"/>
      <c r="J65"/>
      <c r="K65"/>
      <c r="L65"/>
      <c r="M65"/>
    </row>
    <row r="66" spans="1:13" s="2" customFormat="1" x14ac:dyDescent="0.25">
      <c r="A66"/>
      <c r="B66">
        <v>10</v>
      </c>
      <c r="C66" s="9" t="s">
        <v>11</v>
      </c>
      <c r="D66" s="14">
        <v>5696.59</v>
      </c>
      <c r="F66"/>
      <c r="G66"/>
      <c r="H66"/>
      <c r="I66"/>
      <c r="J66"/>
      <c r="K66"/>
      <c r="L66"/>
      <c r="M66"/>
    </row>
    <row r="68" spans="1:13" x14ac:dyDescent="0.25">
      <c r="C68" s="9"/>
      <c r="D68" s="14"/>
    </row>
    <row r="69" spans="1:13" x14ac:dyDescent="0.25">
      <c r="C69" s="7"/>
      <c r="D69" s="20"/>
    </row>
    <row r="70" spans="1:13" x14ac:dyDescent="0.25">
      <c r="C70" s="11"/>
      <c r="D70" s="13"/>
    </row>
    <row r="71" spans="1:13" x14ac:dyDescent="0.25">
      <c r="C71" s="7"/>
      <c r="D71" s="13"/>
      <c r="E71"/>
    </row>
    <row r="72" spans="1:13" x14ac:dyDescent="0.25">
      <c r="C72" s="7"/>
      <c r="D72" s="13"/>
      <c r="E72"/>
    </row>
    <row r="73" spans="1:13" x14ac:dyDescent="0.25">
      <c r="C73" s="7"/>
      <c r="D73" s="13"/>
      <c r="E73"/>
    </row>
    <row r="74" spans="1:13" ht="44.25" customHeight="1" x14ac:dyDescent="0.25">
      <c r="C74" s="7"/>
      <c r="D74" s="13"/>
      <c r="F74" s="21" t="s">
        <v>25</v>
      </c>
      <c r="G74" s="22" t="s">
        <v>26</v>
      </c>
      <c r="H74" s="22" t="s">
        <v>27</v>
      </c>
      <c r="I74" s="23" t="s">
        <v>28</v>
      </c>
      <c r="J74" s="22" t="s">
        <v>29</v>
      </c>
    </row>
    <row r="75" spans="1:13" x14ac:dyDescent="0.25">
      <c r="C75" s="7"/>
      <c r="D75" s="13"/>
      <c r="F75" s="24" t="s">
        <v>42</v>
      </c>
      <c r="G75" s="59">
        <v>59083.54</v>
      </c>
      <c r="H75" s="58">
        <v>67468.97</v>
      </c>
      <c r="I75" s="58">
        <v>52933.17</v>
      </c>
      <c r="J75" s="58">
        <v>5526.06</v>
      </c>
    </row>
    <row r="76" spans="1:13" x14ac:dyDescent="0.25">
      <c r="C76" s="7"/>
      <c r="D76" s="13"/>
      <c r="F76" s="24" t="s">
        <v>37</v>
      </c>
      <c r="G76" s="59">
        <v>67035.22</v>
      </c>
      <c r="H76" s="58">
        <v>75573.179999999993</v>
      </c>
      <c r="I76" s="58">
        <v>61160.59</v>
      </c>
      <c r="J76" s="58">
        <v>5696.59</v>
      </c>
    </row>
    <row r="77" spans="1:13" x14ac:dyDescent="0.25">
      <c r="C77" s="11"/>
      <c r="D77" s="13"/>
      <c r="F77" s="26" t="s">
        <v>32</v>
      </c>
      <c r="G77" s="25">
        <f>G76-G75</f>
        <v>7951.68</v>
      </c>
      <c r="H77" s="25">
        <f t="shared" ref="H77:J77" si="0">H76-H75</f>
        <v>8104.2099999999919</v>
      </c>
      <c r="I77" s="25">
        <f t="shared" si="0"/>
        <v>8227.4199999999983</v>
      </c>
      <c r="J77" s="25">
        <f t="shared" si="0"/>
        <v>170.52999999999975</v>
      </c>
    </row>
    <row r="78" spans="1:13" x14ac:dyDescent="0.25">
      <c r="F78" s="27" t="s">
        <v>33</v>
      </c>
      <c r="G78" s="28">
        <f>(G76-G75)/G75</f>
        <v>0.1345836759273395</v>
      </c>
      <c r="H78" s="28">
        <f t="shared" ref="H78:J78" si="1">(H76-H75)/H75</f>
        <v>0.12011758887085414</v>
      </c>
      <c r="I78" s="28">
        <f t="shared" si="1"/>
        <v>0.15543032846889765</v>
      </c>
      <c r="J78" s="28">
        <f t="shared" si="1"/>
        <v>3.08592378656764E-2</v>
      </c>
    </row>
    <row r="79" spans="1:13" x14ac:dyDescent="0.25">
      <c r="E79"/>
    </row>
    <row r="80" spans="1:13" x14ac:dyDescent="0.25">
      <c r="E80"/>
    </row>
    <row r="81" spans="5:5" x14ac:dyDescent="0.25">
      <c r="E81"/>
    </row>
    <row r="82" spans="5:5" x14ac:dyDescent="0.25">
      <c r="E82"/>
    </row>
    <row r="83" spans="5:5" x14ac:dyDescent="0.25">
      <c r="E83"/>
    </row>
    <row r="84" spans="5:5" x14ac:dyDescent="0.25">
      <c r="E84"/>
    </row>
    <row r="85" spans="5:5" x14ac:dyDescent="0.25">
      <c r="E85"/>
    </row>
  </sheetData>
  <mergeCells count="16">
    <mergeCell ref="B20:D20"/>
    <mergeCell ref="A3:C3"/>
    <mergeCell ref="B4:D4"/>
    <mergeCell ref="B5:D5"/>
    <mergeCell ref="B6:D6"/>
    <mergeCell ref="B19:D19"/>
    <mergeCell ref="B53:E53"/>
    <mergeCell ref="B54:E54"/>
    <mergeCell ref="B55:E55"/>
    <mergeCell ref="D56:E56"/>
    <mergeCell ref="B21:D21"/>
    <mergeCell ref="A35:C35"/>
    <mergeCell ref="B36:D36"/>
    <mergeCell ref="B37:D37"/>
    <mergeCell ref="B38:D38"/>
    <mergeCell ref="A52:D52"/>
  </mergeCells>
  <hyperlinks>
    <hyperlink ref="A1" r:id="rId1"/>
    <hyperlink ref="M19" r:id="rId2"/>
    <hyperlink ref="M35" r:id="rId3"/>
    <hyperlink ref="M52" r:id="rId4"/>
    <hyperlink ref="M3" r:id="rId5"/>
  </hyperlinks>
  <pageMargins left="0.7" right="0.7" top="0.75" bottom="0.75" header="0.3" footer="0.3"/>
  <pageSetup paperSize="9" orientation="portrait" horizontalDpi="4294967293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54"/>
  <sheetViews>
    <sheetView topLeftCell="A4" zoomScale="70" zoomScaleNormal="70" workbookViewId="0">
      <selection activeCell="M48" sqref="M48"/>
    </sheetView>
  </sheetViews>
  <sheetFormatPr defaultRowHeight="15" x14ac:dyDescent="0.25"/>
  <cols>
    <col min="2" max="2" width="3" bestFit="1" customWidth="1"/>
    <col min="3" max="3" width="43.42578125" customWidth="1"/>
    <col min="4" max="4" width="10.140625" customWidth="1"/>
    <col min="5" max="5" width="12.140625" style="2" customWidth="1"/>
    <col min="9" max="9" width="9.140625" customWidth="1"/>
    <col min="12" max="12" width="9.140625" customWidth="1"/>
    <col min="13" max="13" width="73.28515625" bestFit="1" customWidth="1"/>
  </cols>
  <sheetData>
    <row r="1" spans="1:13" x14ac:dyDescent="0.25">
      <c r="A1" s="1" t="s">
        <v>0</v>
      </c>
    </row>
    <row r="3" spans="1:13" ht="18" x14ac:dyDescent="0.25">
      <c r="A3" s="56" t="s">
        <v>1</v>
      </c>
      <c r="B3" s="56"/>
      <c r="C3" s="56"/>
      <c r="D3" s="3"/>
      <c r="M3" s="1" t="s">
        <v>34</v>
      </c>
    </row>
    <row r="4" spans="1:13" x14ac:dyDescent="0.25">
      <c r="A4" s="4"/>
      <c r="B4" s="53" t="s">
        <v>3</v>
      </c>
      <c r="C4" s="53"/>
      <c r="D4" s="53"/>
      <c r="M4" s="1"/>
    </row>
    <row r="5" spans="1:13" x14ac:dyDescent="0.25">
      <c r="A5" s="4"/>
      <c r="B5" s="53" t="s">
        <v>35</v>
      </c>
      <c r="C5" s="53"/>
      <c r="D5" s="53"/>
    </row>
    <row r="6" spans="1:13" x14ac:dyDescent="0.25">
      <c r="A6" s="4"/>
      <c r="B6" s="53" t="s">
        <v>5</v>
      </c>
      <c r="C6" s="53"/>
      <c r="D6" s="53"/>
    </row>
    <row r="7" spans="1:13" x14ac:dyDescent="0.25">
      <c r="A7" s="5"/>
      <c r="B7" s="6">
        <v>3</v>
      </c>
      <c r="C7" s="7" t="s">
        <v>8</v>
      </c>
      <c r="D7" s="8">
        <v>134200.91</v>
      </c>
      <c r="E7" s="2">
        <v>1</v>
      </c>
    </row>
    <row r="8" spans="1:13" x14ac:dyDescent="0.25">
      <c r="A8" s="5"/>
      <c r="B8" s="6">
        <v>6</v>
      </c>
      <c r="C8" s="9" t="s">
        <v>11</v>
      </c>
      <c r="D8" s="10">
        <v>67035.22</v>
      </c>
      <c r="E8" s="2">
        <v>2</v>
      </c>
    </row>
    <row r="9" spans="1:13" x14ac:dyDescent="0.25">
      <c r="A9" s="5"/>
      <c r="B9" s="6">
        <v>8</v>
      </c>
      <c r="C9" s="7" t="s">
        <v>13</v>
      </c>
      <c r="D9" s="8">
        <v>39097.449999999997</v>
      </c>
      <c r="E9" s="2">
        <v>3</v>
      </c>
    </row>
    <row r="10" spans="1:13" x14ac:dyDescent="0.25">
      <c r="A10" s="5"/>
      <c r="B10" s="6">
        <v>9</v>
      </c>
      <c r="C10" s="7" t="s">
        <v>14</v>
      </c>
      <c r="D10" s="8">
        <v>27872.93</v>
      </c>
      <c r="E10" s="2">
        <v>4</v>
      </c>
    </row>
    <row r="11" spans="1:13" x14ac:dyDescent="0.25">
      <c r="A11" s="5"/>
      <c r="B11" s="6">
        <v>10</v>
      </c>
      <c r="C11" s="7" t="s">
        <v>15</v>
      </c>
      <c r="D11" s="8">
        <v>22922.720000000001</v>
      </c>
      <c r="E11" s="2">
        <v>5</v>
      </c>
    </row>
    <row r="13" spans="1:13" ht="18" x14ac:dyDescent="0.25">
      <c r="A13" s="4"/>
      <c r="B13" s="56" t="s">
        <v>16</v>
      </c>
      <c r="C13" s="56"/>
      <c r="D13" s="56"/>
      <c r="M13" s="1" t="s">
        <v>17</v>
      </c>
    </row>
    <row r="14" spans="1:13" x14ac:dyDescent="0.25">
      <c r="A14" s="4"/>
      <c r="B14" s="53" t="s">
        <v>3</v>
      </c>
      <c r="C14" s="53"/>
      <c r="D14" s="53"/>
      <c r="M14" s="1"/>
    </row>
    <row r="15" spans="1:13" x14ac:dyDescent="0.25">
      <c r="A15" s="4"/>
      <c r="B15" s="53" t="s">
        <v>35</v>
      </c>
      <c r="C15" s="53"/>
      <c r="D15" s="53"/>
    </row>
    <row r="16" spans="1:13" x14ac:dyDescent="0.25">
      <c r="A16" s="4"/>
      <c r="B16" s="53" t="s">
        <v>5</v>
      </c>
      <c r="C16" s="53"/>
      <c r="D16" s="53"/>
    </row>
    <row r="17" spans="1:13" x14ac:dyDescent="0.25">
      <c r="A17" s="5"/>
      <c r="B17" s="12">
        <v>4</v>
      </c>
      <c r="C17" s="7" t="s">
        <v>8</v>
      </c>
      <c r="D17" s="13">
        <v>164973.21</v>
      </c>
      <c r="E17" s="2">
        <v>1</v>
      </c>
    </row>
    <row r="18" spans="1:13" x14ac:dyDescent="0.25">
      <c r="A18" s="5"/>
      <c r="B18" s="12">
        <v>6</v>
      </c>
      <c r="C18" s="9" t="s">
        <v>11</v>
      </c>
      <c r="D18" s="14">
        <v>75573.179999999993</v>
      </c>
      <c r="E18" s="2">
        <v>2</v>
      </c>
    </row>
    <row r="19" spans="1:13" x14ac:dyDescent="0.25">
      <c r="A19" s="5"/>
      <c r="B19" s="12">
        <v>8</v>
      </c>
      <c r="C19" t="s">
        <v>13</v>
      </c>
      <c r="D19" s="29">
        <v>60825.53</v>
      </c>
      <c r="E19" s="2">
        <v>3</v>
      </c>
    </row>
    <row r="20" spans="1:13" x14ac:dyDescent="0.25">
      <c r="A20" s="5"/>
      <c r="B20" s="12">
        <v>9</v>
      </c>
      <c r="C20" s="7" t="s">
        <v>14</v>
      </c>
      <c r="D20" s="13">
        <v>46913.16</v>
      </c>
      <c r="E20" s="2">
        <v>4</v>
      </c>
    </row>
    <row r="21" spans="1:13" x14ac:dyDescent="0.25">
      <c r="A21" s="5"/>
      <c r="B21" s="12">
        <v>10</v>
      </c>
      <c r="C21" s="7" t="s">
        <v>15</v>
      </c>
      <c r="D21" s="13">
        <v>32864.5</v>
      </c>
      <c r="E21" s="2">
        <v>5</v>
      </c>
    </row>
    <row r="24" spans="1:13" ht="18" x14ac:dyDescent="0.25">
      <c r="A24" s="56" t="s">
        <v>18</v>
      </c>
      <c r="B24" s="56"/>
      <c r="C24" s="56"/>
      <c r="D24" s="3"/>
      <c r="M24" s="1" t="s">
        <v>19</v>
      </c>
    </row>
    <row r="25" spans="1:13" x14ac:dyDescent="0.25">
      <c r="A25" s="4"/>
      <c r="B25" s="53" t="s">
        <v>3</v>
      </c>
      <c r="C25" s="53"/>
      <c r="D25" s="53"/>
      <c r="M25" s="1"/>
    </row>
    <row r="26" spans="1:13" x14ac:dyDescent="0.25">
      <c r="A26" s="4"/>
      <c r="B26" s="53" t="s">
        <v>35</v>
      </c>
      <c r="C26" s="53"/>
      <c r="D26" s="53"/>
    </row>
    <row r="27" spans="1:13" x14ac:dyDescent="0.25">
      <c r="A27" s="4"/>
      <c r="B27" s="53" t="s">
        <v>5</v>
      </c>
      <c r="C27" s="53"/>
      <c r="D27" s="53"/>
    </row>
    <row r="28" spans="1:13" x14ac:dyDescent="0.25">
      <c r="A28" s="5"/>
      <c r="B28" s="12">
        <v>4</v>
      </c>
      <c r="C28" s="7" t="s">
        <v>8</v>
      </c>
      <c r="D28" s="13">
        <v>124407.09</v>
      </c>
      <c r="E28" s="2">
        <v>1</v>
      </c>
    </row>
    <row r="29" spans="1:13" x14ac:dyDescent="0.25">
      <c r="A29" s="5"/>
      <c r="B29" s="12">
        <v>6</v>
      </c>
      <c r="C29" s="9" t="s">
        <v>11</v>
      </c>
      <c r="D29" s="14">
        <v>61160.59</v>
      </c>
      <c r="E29" s="2">
        <v>2</v>
      </c>
    </row>
    <row r="30" spans="1:13" x14ac:dyDescent="0.25">
      <c r="A30" s="5"/>
      <c r="B30" s="12">
        <v>8</v>
      </c>
      <c r="C30" s="7" t="s">
        <v>13</v>
      </c>
      <c r="D30" s="13">
        <v>42631.69</v>
      </c>
      <c r="E30" s="2">
        <v>3</v>
      </c>
    </row>
    <row r="31" spans="1:13" x14ac:dyDescent="0.25">
      <c r="A31" s="5"/>
      <c r="B31" s="12">
        <v>9</v>
      </c>
      <c r="C31" s="7" t="s">
        <v>14</v>
      </c>
      <c r="D31" s="13">
        <v>34363.25</v>
      </c>
      <c r="E31" s="2">
        <v>4</v>
      </c>
    </row>
    <row r="32" spans="1:13" x14ac:dyDescent="0.25">
      <c r="A32" s="5"/>
      <c r="B32" s="12">
        <v>10</v>
      </c>
      <c r="C32" s="7" t="s">
        <v>15</v>
      </c>
      <c r="D32" s="13">
        <v>21151.35</v>
      </c>
      <c r="E32" s="2">
        <v>5</v>
      </c>
    </row>
    <row r="33" spans="1:13" x14ac:dyDescent="0.25">
      <c r="A33" s="5"/>
    </row>
    <row r="36" spans="1:13" ht="18" x14ac:dyDescent="0.25">
      <c r="A36" s="56" t="s">
        <v>20</v>
      </c>
      <c r="B36" s="56"/>
      <c r="C36" s="56"/>
      <c r="D36" s="56"/>
      <c r="E36" s="15"/>
      <c r="F36" s="2"/>
      <c r="M36" s="1" t="s">
        <v>36</v>
      </c>
    </row>
    <row r="37" spans="1:13" x14ac:dyDescent="0.25">
      <c r="A37" s="4"/>
      <c r="B37" s="53" t="s">
        <v>3</v>
      </c>
      <c r="C37" s="53"/>
      <c r="D37" s="53"/>
      <c r="E37" s="53"/>
      <c r="F37" s="16"/>
      <c r="G37" s="17"/>
    </row>
    <row r="38" spans="1:13" x14ac:dyDescent="0.25">
      <c r="A38" s="4"/>
      <c r="B38" s="53" t="s">
        <v>35</v>
      </c>
      <c r="C38" s="53"/>
      <c r="D38" s="53"/>
      <c r="E38" s="30"/>
      <c r="F38" s="16"/>
      <c r="G38" s="17"/>
    </row>
    <row r="39" spans="1:13" x14ac:dyDescent="0.25">
      <c r="A39" s="4"/>
      <c r="B39" s="53" t="s">
        <v>5</v>
      </c>
      <c r="C39" s="53"/>
      <c r="D39" s="53"/>
      <c r="E39" s="53"/>
      <c r="F39" s="2"/>
    </row>
    <row r="40" spans="1:13" x14ac:dyDescent="0.25">
      <c r="B40" s="18" t="s">
        <v>22</v>
      </c>
      <c r="C40" s="18" t="s">
        <v>23</v>
      </c>
      <c r="D40" s="54" t="s">
        <v>24</v>
      </c>
      <c r="E40" s="55"/>
      <c r="F40" s="19"/>
    </row>
    <row r="41" spans="1:13" s="2" customFormat="1" x14ac:dyDescent="0.25">
      <c r="A41"/>
      <c r="B41">
        <v>4</v>
      </c>
      <c r="C41" s="7" t="s">
        <v>8</v>
      </c>
      <c r="D41" s="13">
        <v>21088.560000000001</v>
      </c>
      <c r="E41" s="2">
        <v>1</v>
      </c>
      <c r="F41"/>
      <c r="G41"/>
      <c r="H41"/>
      <c r="I41"/>
      <c r="J41"/>
      <c r="K41"/>
      <c r="L41"/>
      <c r="M41"/>
    </row>
    <row r="42" spans="1:13" s="2" customFormat="1" x14ac:dyDescent="0.25">
      <c r="A42"/>
      <c r="B42">
        <v>6</v>
      </c>
      <c r="C42" s="7" t="s">
        <v>13</v>
      </c>
      <c r="D42" s="13">
        <v>18736.310000000001</v>
      </c>
      <c r="E42" s="2">
        <v>2</v>
      </c>
      <c r="F42"/>
      <c r="G42"/>
      <c r="H42"/>
      <c r="I42"/>
      <c r="J42"/>
      <c r="K42"/>
      <c r="L42"/>
      <c r="M42"/>
    </row>
    <row r="43" spans="1:13" s="2" customFormat="1" x14ac:dyDescent="0.25">
      <c r="A43"/>
      <c r="B43">
        <v>8</v>
      </c>
      <c r="C43" s="7" t="s">
        <v>15</v>
      </c>
      <c r="D43" s="13">
        <v>8646.9500000000007</v>
      </c>
      <c r="E43" s="2">
        <v>3</v>
      </c>
      <c r="F43"/>
      <c r="G43"/>
      <c r="H43"/>
      <c r="I43"/>
      <c r="J43"/>
      <c r="K43"/>
      <c r="L43"/>
      <c r="M43"/>
    </row>
    <row r="44" spans="1:13" s="2" customFormat="1" x14ac:dyDescent="0.25">
      <c r="A44"/>
      <c r="B44">
        <v>9</v>
      </c>
      <c r="C44" s="7" t="s">
        <v>14</v>
      </c>
      <c r="D44" s="13">
        <v>8420.7900000000009</v>
      </c>
      <c r="E44" s="2">
        <v>4</v>
      </c>
      <c r="F44"/>
      <c r="G44"/>
      <c r="H44"/>
      <c r="I44"/>
      <c r="J44"/>
      <c r="K44"/>
      <c r="L44"/>
      <c r="M44"/>
    </row>
    <row r="45" spans="1:13" s="2" customFormat="1" x14ac:dyDescent="0.25">
      <c r="A45"/>
      <c r="B45">
        <v>10</v>
      </c>
      <c r="C45" s="9" t="s">
        <v>11</v>
      </c>
      <c r="D45" s="14">
        <v>5696.59</v>
      </c>
      <c r="E45" s="2">
        <v>5</v>
      </c>
      <c r="F45"/>
      <c r="G45"/>
      <c r="H45"/>
      <c r="I45"/>
      <c r="J45"/>
      <c r="K45"/>
      <c r="L45"/>
      <c r="M45"/>
    </row>
    <row r="46" spans="1:13" s="2" customFormat="1" x14ac:dyDescent="0.25">
      <c r="A46"/>
      <c r="B46"/>
      <c r="D46" s="13"/>
      <c r="F46"/>
      <c r="G46"/>
      <c r="H46"/>
      <c r="I46"/>
      <c r="J46"/>
      <c r="K46"/>
      <c r="L46"/>
      <c r="M46"/>
    </row>
    <row r="47" spans="1:13" s="2" customFormat="1" x14ac:dyDescent="0.25">
      <c r="A47"/>
      <c r="B47"/>
      <c r="C47" s="9"/>
      <c r="D47" s="14"/>
      <c r="F47"/>
      <c r="G47"/>
      <c r="H47"/>
      <c r="I47"/>
      <c r="J47"/>
      <c r="K47"/>
      <c r="L47"/>
      <c r="M47"/>
    </row>
    <row r="48" spans="1:13" s="2" customFormat="1" x14ac:dyDescent="0.25">
      <c r="A48"/>
      <c r="B48"/>
      <c r="C48" s="7"/>
      <c r="D48" s="13"/>
      <c r="F48"/>
      <c r="G48"/>
      <c r="H48"/>
      <c r="I48"/>
      <c r="J48"/>
      <c r="K48"/>
      <c r="L48"/>
      <c r="M48"/>
    </row>
    <row r="49" spans="3:4" x14ac:dyDescent="0.25">
      <c r="C49" s="7"/>
      <c r="D49" s="13"/>
    </row>
    <row r="50" spans="3:4" x14ac:dyDescent="0.25">
      <c r="C50" s="7"/>
      <c r="D50" s="13"/>
    </row>
    <row r="51" spans="3:4" x14ac:dyDescent="0.25">
      <c r="C51" s="7"/>
      <c r="D51" s="13"/>
    </row>
    <row r="52" spans="3:4" x14ac:dyDescent="0.25">
      <c r="C52" s="7"/>
    </row>
    <row r="53" spans="3:4" x14ac:dyDescent="0.25">
      <c r="C53" s="7"/>
    </row>
    <row r="54" spans="3:4" x14ac:dyDescent="0.25">
      <c r="C54" s="7"/>
    </row>
  </sheetData>
  <mergeCells count="17">
    <mergeCell ref="B27:D27"/>
    <mergeCell ref="A3:C3"/>
    <mergeCell ref="B4:D4"/>
    <mergeCell ref="B5:D5"/>
    <mergeCell ref="B6:D6"/>
    <mergeCell ref="B13:D13"/>
    <mergeCell ref="B14:D14"/>
    <mergeCell ref="B15:D15"/>
    <mergeCell ref="B16:D16"/>
    <mergeCell ref="A24:C24"/>
    <mergeCell ref="B25:D25"/>
    <mergeCell ref="B26:D26"/>
    <mergeCell ref="A36:D36"/>
    <mergeCell ref="B37:E37"/>
    <mergeCell ref="B38:D38"/>
    <mergeCell ref="B39:E39"/>
    <mergeCell ref="D40:E40"/>
  </mergeCells>
  <hyperlinks>
    <hyperlink ref="A1" r:id="rId1"/>
    <hyperlink ref="M13" r:id="rId2"/>
    <hyperlink ref="M36" r:id="rId3"/>
    <hyperlink ref="M24" r:id="rId4"/>
    <hyperlink ref="M3" r:id="rId5"/>
  </hyperlinks>
  <pageMargins left="0.7" right="0.7" top="0.75" bottom="0.75" header="0.3" footer="0.3"/>
  <pageSetup paperSize="9" orientation="portrait" horizontalDpi="4294967293" verticalDpi="0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4:O112"/>
  <sheetViews>
    <sheetView topLeftCell="A52" zoomScale="85" zoomScaleNormal="85" workbookViewId="0">
      <selection activeCell="C92" sqref="C92"/>
    </sheetView>
  </sheetViews>
  <sheetFormatPr defaultRowHeight="15" x14ac:dyDescent="0.25"/>
  <cols>
    <col min="1" max="1" width="9.7109375" customWidth="1"/>
    <col min="2" max="2" width="27.85546875" bestFit="1" customWidth="1"/>
    <col min="3" max="3" width="19.5703125" bestFit="1" customWidth="1"/>
    <col min="4" max="4" width="6.140625" bestFit="1" customWidth="1"/>
    <col min="5" max="5" width="14.140625" customWidth="1"/>
    <col min="6" max="6" width="27.85546875" bestFit="1" customWidth="1"/>
    <col min="7" max="7" width="22" customWidth="1"/>
    <col min="9" max="9" width="30" bestFit="1" customWidth="1"/>
    <col min="12" max="12" width="27.85546875" bestFit="1" customWidth="1"/>
  </cols>
  <sheetData>
    <row r="4" spans="1:13" ht="18" x14ac:dyDescent="0.25">
      <c r="A4" s="32" t="s">
        <v>1</v>
      </c>
      <c r="B4" s="32"/>
      <c r="C4" s="32"/>
      <c r="D4" s="33"/>
      <c r="E4" s="32" t="s">
        <v>1</v>
      </c>
      <c r="F4" s="32"/>
      <c r="G4" s="32"/>
    </row>
    <row r="5" spans="1:13" x14ac:dyDescent="0.25">
      <c r="A5" s="53" t="s">
        <v>3</v>
      </c>
      <c r="B5" s="53"/>
      <c r="C5" s="53"/>
      <c r="D5" s="34"/>
      <c r="E5" s="53" t="s">
        <v>3</v>
      </c>
      <c r="F5" s="53"/>
      <c r="G5" s="53"/>
    </row>
    <row r="6" spans="1:13" x14ac:dyDescent="0.25">
      <c r="A6" s="53" t="s">
        <v>4</v>
      </c>
      <c r="B6" s="53"/>
      <c r="C6" s="53"/>
      <c r="D6" s="34"/>
      <c r="E6" s="53" t="s">
        <v>35</v>
      </c>
      <c r="F6" s="53"/>
      <c r="G6" s="53"/>
    </row>
    <row r="7" spans="1:13" x14ac:dyDescent="0.25">
      <c r="A7" s="53" t="s">
        <v>5</v>
      </c>
      <c r="B7" s="53"/>
      <c r="C7" s="53"/>
      <c r="D7" s="34"/>
      <c r="E7" s="53" t="s">
        <v>5</v>
      </c>
      <c r="F7" s="53"/>
      <c r="G7" s="53"/>
    </row>
    <row r="8" spans="1:13" s="35" customFormat="1" x14ac:dyDescent="0.25">
      <c r="A8" s="6">
        <v>1</v>
      </c>
      <c r="B8" s="7" t="s">
        <v>6</v>
      </c>
      <c r="C8" s="8">
        <v>186286.49</v>
      </c>
      <c r="E8" s="6">
        <v>1</v>
      </c>
      <c r="F8" s="7" t="s">
        <v>6</v>
      </c>
      <c r="G8" s="8">
        <v>191444.7</v>
      </c>
      <c r="I8" s="7" t="s">
        <v>6</v>
      </c>
      <c r="J8" s="8">
        <v>186286.49</v>
      </c>
      <c r="L8" s="7" t="s">
        <v>6</v>
      </c>
      <c r="M8" s="8">
        <v>191444.7</v>
      </c>
    </row>
    <row r="9" spans="1:13" x14ac:dyDescent="0.25">
      <c r="A9" s="6">
        <v>2</v>
      </c>
      <c r="B9" s="7" t="s">
        <v>7</v>
      </c>
      <c r="C9" s="8">
        <v>163651.54999999999</v>
      </c>
      <c r="E9" s="6">
        <v>2</v>
      </c>
      <c r="F9" s="7" t="s">
        <v>7</v>
      </c>
      <c r="G9" s="8">
        <v>177200.83</v>
      </c>
      <c r="I9" s="7" t="s">
        <v>7</v>
      </c>
      <c r="J9" s="8">
        <v>163651.54999999999</v>
      </c>
      <c r="L9" s="7" t="s">
        <v>7</v>
      </c>
      <c r="M9" s="8">
        <v>177200.83</v>
      </c>
    </row>
    <row r="10" spans="1:13" x14ac:dyDescent="0.25">
      <c r="A10" s="6">
        <v>3</v>
      </c>
      <c r="B10" s="7" t="s">
        <v>8</v>
      </c>
      <c r="C10" s="8">
        <v>136356.04</v>
      </c>
      <c r="E10" s="6">
        <v>3</v>
      </c>
      <c r="F10" s="7" t="s">
        <v>8</v>
      </c>
      <c r="G10" s="8">
        <v>134200.91</v>
      </c>
      <c r="I10" s="7" t="s">
        <v>8</v>
      </c>
      <c r="J10" s="8">
        <v>136356.04</v>
      </c>
      <c r="L10" s="7" t="s">
        <v>8</v>
      </c>
      <c r="M10" s="8">
        <v>134200.91</v>
      </c>
    </row>
    <row r="11" spans="1:13" x14ac:dyDescent="0.25">
      <c r="A11" s="6">
        <v>4</v>
      </c>
      <c r="B11" s="7" t="s">
        <v>9</v>
      </c>
      <c r="C11" s="8">
        <v>106674.06</v>
      </c>
      <c r="E11" s="6">
        <v>4</v>
      </c>
      <c r="F11" s="7" t="s">
        <v>9</v>
      </c>
      <c r="G11" s="8">
        <v>113725.37</v>
      </c>
      <c r="I11" s="7" t="s">
        <v>9</v>
      </c>
      <c r="J11" s="8">
        <v>106674.06</v>
      </c>
      <c r="L11" s="7" t="s">
        <v>9</v>
      </c>
      <c r="M11" s="8">
        <v>113725.37</v>
      </c>
    </row>
    <row r="12" spans="1:13" x14ac:dyDescent="0.25">
      <c r="A12" s="6">
        <v>5</v>
      </c>
      <c r="B12" s="7" t="s">
        <v>10</v>
      </c>
      <c r="C12" s="8">
        <v>105228.99</v>
      </c>
      <c r="E12" s="6">
        <v>5</v>
      </c>
      <c r="F12" s="7" t="s">
        <v>10</v>
      </c>
      <c r="G12" s="8">
        <v>107207.15</v>
      </c>
      <c r="I12" s="7" t="s">
        <v>10</v>
      </c>
      <c r="J12" s="8">
        <v>105228.99</v>
      </c>
      <c r="L12" s="7" t="s">
        <v>10</v>
      </c>
      <c r="M12" s="8">
        <v>107207.15</v>
      </c>
    </row>
    <row r="13" spans="1:13" x14ac:dyDescent="0.25">
      <c r="A13" s="6">
        <v>6</v>
      </c>
      <c r="B13" s="9" t="s">
        <v>11</v>
      </c>
      <c r="C13" s="10">
        <v>59083.54</v>
      </c>
      <c r="E13" s="6">
        <v>6</v>
      </c>
      <c r="F13" s="9" t="s">
        <v>11</v>
      </c>
      <c r="G13" s="10">
        <v>67035.22</v>
      </c>
      <c r="I13" s="9" t="s">
        <v>11</v>
      </c>
      <c r="J13" s="10">
        <v>59083.54</v>
      </c>
      <c r="L13" s="9" t="s">
        <v>11</v>
      </c>
      <c r="M13" s="10">
        <v>67035.22</v>
      </c>
    </row>
    <row r="14" spans="1:13" x14ac:dyDescent="0.25">
      <c r="A14" s="6">
        <v>7</v>
      </c>
      <c r="B14" s="7" t="s">
        <v>12</v>
      </c>
      <c r="C14" s="8">
        <v>44629.22</v>
      </c>
      <c r="E14" s="6">
        <v>7</v>
      </c>
      <c r="F14" s="7" t="s">
        <v>12</v>
      </c>
      <c r="G14" s="8">
        <v>50737.04</v>
      </c>
      <c r="I14" s="7" t="s">
        <v>12</v>
      </c>
      <c r="J14" s="8">
        <v>44629.22</v>
      </c>
      <c r="L14" s="7" t="s">
        <v>12</v>
      </c>
      <c r="M14" s="8">
        <v>50737.04</v>
      </c>
    </row>
    <row r="15" spans="1:13" x14ac:dyDescent="0.25">
      <c r="A15" s="6">
        <v>8</v>
      </c>
      <c r="B15" s="7" t="s">
        <v>13</v>
      </c>
      <c r="C15" s="8">
        <v>37552.269999999997</v>
      </c>
      <c r="E15" s="6">
        <v>8</v>
      </c>
      <c r="F15" s="7" t="s">
        <v>13</v>
      </c>
      <c r="G15" s="8">
        <v>39097.449999999997</v>
      </c>
      <c r="I15" s="7" t="s">
        <v>13</v>
      </c>
      <c r="J15" s="8">
        <v>37552.269999999997</v>
      </c>
      <c r="L15" s="7" t="s">
        <v>13</v>
      </c>
      <c r="M15" s="8">
        <v>39097.449999999997</v>
      </c>
    </row>
    <row r="16" spans="1:13" x14ac:dyDescent="0.25">
      <c r="A16" s="6">
        <v>9</v>
      </c>
      <c r="B16" s="7" t="s">
        <v>14</v>
      </c>
      <c r="C16" s="8">
        <v>26163.11</v>
      </c>
      <c r="E16" s="6">
        <v>9</v>
      </c>
      <c r="F16" s="7" t="s">
        <v>14</v>
      </c>
      <c r="G16" s="8">
        <v>27872.93</v>
      </c>
      <c r="I16" s="7" t="s">
        <v>14</v>
      </c>
      <c r="J16" s="8">
        <v>26163.11</v>
      </c>
      <c r="L16" s="7" t="s">
        <v>14</v>
      </c>
      <c r="M16" s="8">
        <v>27872.93</v>
      </c>
    </row>
    <row r="17" spans="1:13" x14ac:dyDescent="0.25">
      <c r="A17" s="6">
        <v>10</v>
      </c>
      <c r="B17" s="7" t="s">
        <v>15</v>
      </c>
      <c r="C17" s="8">
        <v>20926.21</v>
      </c>
      <c r="E17" s="6">
        <v>10</v>
      </c>
      <c r="F17" s="7" t="s">
        <v>15</v>
      </c>
      <c r="G17" s="8">
        <v>22922.720000000001</v>
      </c>
      <c r="I17" s="7" t="s">
        <v>15</v>
      </c>
      <c r="J17" s="8">
        <v>20926.21</v>
      </c>
      <c r="L17" s="7" t="s">
        <v>15</v>
      </c>
      <c r="M17" s="8">
        <v>22922.720000000001</v>
      </c>
    </row>
    <row r="18" spans="1:13" x14ac:dyDescent="0.25">
      <c r="A18" s="2"/>
      <c r="B18" s="2"/>
      <c r="F18" s="2"/>
    </row>
    <row r="19" spans="1:13" ht="18" x14ac:dyDescent="0.25">
      <c r="A19" s="57"/>
      <c r="B19" s="57"/>
      <c r="C19" s="57"/>
      <c r="F19" s="2"/>
    </row>
    <row r="20" spans="1:13" ht="18" x14ac:dyDescent="0.25">
      <c r="A20" s="56" t="s">
        <v>16</v>
      </c>
      <c r="B20" s="56"/>
      <c r="C20" s="56"/>
      <c r="E20" s="56" t="s">
        <v>16</v>
      </c>
      <c r="F20" s="56"/>
      <c r="G20" s="56"/>
    </row>
    <row r="21" spans="1:13" x14ac:dyDescent="0.25">
      <c r="A21" s="53" t="s">
        <v>4</v>
      </c>
      <c r="B21" s="53"/>
      <c r="C21" s="53"/>
      <c r="E21" s="53" t="s">
        <v>35</v>
      </c>
      <c r="F21" s="53"/>
      <c r="G21" s="53"/>
    </row>
    <row r="22" spans="1:13" x14ac:dyDescent="0.25">
      <c r="A22" s="53" t="s">
        <v>5</v>
      </c>
      <c r="B22" s="53"/>
      <c r="C22" s="53"/>
      <c r="E22" s="53" t="s">
        <v>5</v>
      </c>
      <c r="F22" s="53"/>
      <c r="G22" s="53"/>
    </row>
    <row r="23" spans="1:13" x14ac:dyDescent="0.25">
      <c r="A23" s="12">
        <v>1</v>
      </c>
      <c r="B23" s="7" t="s">
        <v>7</v>
      </c>
      <c r="C23" s="13">
        <v>220919.27</v>
      </c>
      <c r="E23" s="12">
        <v>1</v>
      </c>
      <c r="F23" s="7" t="s">
        <v>7</v>
      </c>
      <c r="G23" s="13">
        <v>232588.73</v>
      </c>
      <c r="I23" s="7" t="s">
        <v>7</v>
      </c>
      <c r="J23" s="13">
        <v>220919.27</v>
      </c>
      <c r="L23" s="7" t="s">
        <v>7</v>
      </c>
      <c r="M23" s="13">
        <v>232588.73</v>
      </c>
    </row>
    <row r="24" spans="1:13" x14ac:dyDescent="0.25">
      <c r="A24" s="12">
        <v>2</v>
      </c>
      <c r="B24" s="7" t="s">
        <v>6</v>
      </c>
      <c r="C24" s="13">
        <v>212063.44</v>
      </c>
      <c r="E24" s="12">
        <v>2</v>
      </c>
      <c r="F24" s="7" t="s">
        <v>6</v>
      </c>
      <c r="G24" s="13">
        <v>217536.44</v>
      </c>
      <c r="I24" s="7" t="s">
        <v>6</v>
      </c>
      <c r="J24" s="13">
        <v>212063.44</v>
      </c>
      <c r="L24" s="7" t="s">
        <v>6</v>
      </c>
      <c r="M24" s="13">
        <v>217536.44</v>
      </c>
    </row>
    <row r="25" spans="1:13" x14ac:dyDescent="0.25">
      <c r="A25" s="12">
        <v>3</v>
      </c>
      <c r="B25" s="7" t="s">
        <v>10</v>
      </c>
      <c r="C25" s="13">
        <v>167867.51</v>
      </c>
      <c r="E25" s="12">
        <v>3</v>
      </c>
      <c r="F25" s="7" t="s">
        <v>10</v>
      </c>
      <c r="G25" s="13">
        <v>171953.32</v>
      </c>
      <c r="I25" s="7" t="s">
        <v>10</v>
      </c>
      <c r="J25" s="13">
        <v>167867.51</v>
      </c>
      <c r="L25" s="7" t="s">
        <v>10</v>
      </c>
      <c r="M25" s="13">
        <v>171953.32</v>
      </c>
    </row>
    <row r="26" spans="1:13" x14ac:dyDescent="0.25">
      <c r="A26" s="12">
        <v>4</v>
      </c>
      <c r="B26" s="7" t="s">
        <v>8</v>
      </c>
      <c r="C26" s="13">
        <v>164937.5</v>
      </c>
      <c r="E26" s="12">
        <v>4</v>
      </c>
      <c r="F26" s="7" t="s">
        <v>8</v>
      </c>
      <c r="G26" s="13">
        <v>164973.21</v>
      </c>
      <c r="I26" s="7" t="s">
        <v>8</v>
      </c>
      <c r="J26" s="13">
        <v>164937.5</v>
      </c>
      <c r="L26" s="7" t="s">
        <v>8</v>
      </c>
      <c r="M26" s="13">
        <v>164973.21</v>
      </c>
    </row>
    <row r="27" spans="1:13" x14ac:dyDescent="0.25">
      <c r="A27" s="12">
        <v>5</v>
      </c>
      <c r="B27" s="7" t="s">
        <v>9</v>
      </c>
      <c r="C27" s="13">
        <v>144360.10999999999</v>
      </c>
      <c r="E27" s="12">
        <v>5</v>
      </c>
      <c r="F27" s="7" t="s">
        <v>9</v>
      </c>
      <c r="G27" s="13">
        <v>159509.10999999999</v>
      </c>
      <c r="I27" s="7" t="s">
        <v>9</v>
      </c>
      <c r="J27" s="13">
        <v>144360.10999999999</v>
      </c>
      <c r="L27" s="7" t="s">
        <v>9</v>
      </c>
      <c r="M27" s="13">
        <v>159509.10999999999</v>
      </c>
    </row>
    <row r="28" spans="1:13" x14ac:dyDescent="0.25">
      <c r="A28" s="12">
        <v>6</v>
      </c>
      <c r="B28" s="9" t="s">
        <v>11</v>
      </c>
      <c r="C28" s="14">
        <v>67468.97</v>
      </c>
      <c r="E28" s="12">
        <v>6</v>
      </c>
      <c r="F28" s="9" t="s">
        <v>11</v>
      </c>
      <c r="G28" s="14">
        <v>75573.179999999993</v>
      </c>
      <c r="I28" s="9" t="s">
        <v>11</v>
      </c>
      <c r="J28" s="14">
        <v>67468.97</v>
      </c>
      <c r="L28" s="9" t="s">
        <v>11</v>
      </c>
      <c r="M28" s="14">
        <v>75573.179999999993</v>
      </c>
    </row>
    <row r="29" spans="1:13" x14ac:dyDescent="0.25">
      <c r="A29" s="12">
        <v>7</v>
      </c>
      <c r="B29" s="7" t="s">
        <v>12</v>
      </c>
      <c r="C29" s="13">
        <v>59123.29</v>
      </c>
      <c r="E29" s="12">
        <v>7</v>
      </c>
      <c r="F29" s="7" t="s">
        <v>12</v>
      </c>
      <c r="G29" s="13">
        <v>67616.02</v>
      </c>
      <c r="I29" s="7" t="s">
        <v>12</v>
      </c>
      <c r="J29" s="13">
        <v>59123.29</v>
      </c>
      <c r="L29" s="7" t="s">
        <v>12</v>
      </c>
      <c r="M29" s="13">
        <v>67616.02</v>
      </c>
    </row>
    <row r="30" spans="1:13" x14ac:dyDescent="0.25">
      <c r="A30" s="12">
        <v>8</v>
      </c>
      <c r="B30" s="7" t="s">
        <v>13</v>
      </c>
      <c r="C30" s="13">
        <v>57466.75</v>
      </c>
      <c r="E30" s="12">
        <v>8</v>
      </c>
      <c r="F30" s="7" t="s">
        <v>13</v>
      </c>
      <c r="G30" s="13">
        <v>60825.53</v>
      </c>
      <c r="I30" s="7" t="s">
        <v>13</v>
      </c>
      <c r="J30" s="13">
        <v>57466.75</v>
      </c>
      <c r="L30" s="7" t="s">
        <v>13</v>
      </c>
      <c r="M30" s="13">
        <v>60825.53</v>
      </c>
    </row>
    <row r="31" spans="1:13" x14ac:dyDescent="0.25">
      <c r="A31" s="12">
        <v>9</v>
      </c>
      <c r="B31" s="7" t="s">
        <v>14</v>
      </c>
      <c r="C31" s="13">
        <v>42366.84</v>
      </c>
      <c r="E31" s="12">
        <v>9</v>
      </c>
      <c r="F31" s="7" t="s">
        <v>14</v>
      </c>
      <c r="G31" s="13">
        <v>46913.16</v>
      </c>
      <c r="I31" s="7" t="s">
        <v>14</v>
      </c>
      <c r="J31" s="13">
        <v>42366.84</v>
      </c>
      <c r="L31" s="7" t="s">
        <v>14</v>
      </c>
      <c r="M31" s="13">
        <v>46913.16</v>
      </c>
    </row>
    <row r="32" spans="1:13" x14ac:dyDescent="0.25">
      <c r="A32" s="12">
        <v>10</v>
      </c>
      <c r="B32" s="7" t="s">
        <v>15</v>
      </c>
      <c r="C32" s="13">
        <v>30453.37</v>
      </c>
      <c r="E32" s="12">
        <v>10</v>
      </c>
      <c r="F32" s="7" t="s">
        <v>15</v>
      </c>
      <c r="G32" s="13">
        <v>32864.5</v>
      </c>
      <c r="I32" s="7" t="s">
        <v>15</v>
      </c>
      <c r="J32" s="13">
        <v>30453.37</v>
      </c>
      <c r="L32" s="7" t="s">
        <v>15</v>
      </c>
      <c r="M32" s="13">
        <v>32864.5</v>
      </c>
    </row>
    <row r="33" spans="1:13" x14ac:dyDescent="0.25">
      <c r="A33" s="2"/>
      <c r="B33" s="2"/>
      <c r="F33" s="2"/>
      <c r="I33" s="36" t="s">
        <v>39</v>
      </c>
      <c r="J33" s="38">
        <v>17399.07</v>
      </c>
    </row>
    <row r="34" spans="1:13" x14ac:dyDescent="0.25">
      <c r="A34" s="2"/>
      <c r="B34" s="2"/>
      <c r="F34" s="2"/>
    </row>
    <row r="35" spans="1:13" x14ac:dyDescent="0.25">
      <c r="A35" s="39"/>
      <c r="B35" s="39"/>
      <c r="C35" s="40"/>
      <c r="D35" s="40"/>
      <c r="F35" s="2"/>
    </row>
    <row r="36" spans="1:13" ht="18" x14ac:dyDescent="0.25">
      <c r="A36" s="56" t="s">
        <v>18</v>
      </c>
      <c r="B36" s="56"/>
      <c r="C36" s="56"/>
      <c r="D36" s="40"/>
      <c r="E36" s="56" t="s">
        <v>18</v>
      </c>
      <c r="F36" s="56"/>
      <c r="G36" s="56"/>
    </row>
    <row r="37" spans="1:13" x14ac:dyDescent="0.25">
      <c r="A37" s="53" t="s">
        <v>3</v>
      </c>
      <c r="B37" s="53"/>
      <c r="C37" s="53"/>
      <c r="D37" s="40"/>
      <c r="E37" s="53" t="s">
        <v>3</v>
      </c>
      <c r="F37" s="53"/>
      <c r="G37" s="53"/>
    </row>
    <row r="38" spans="1:13" x14ac:dyDescent="0.25">
      <c r="A38" s="53" t="s">
        <v>4</v>
      </c>
      <c r="B38" s="53"/>
      <c r="C38" s="53"/>
      <c r="E38" s="53" t="s">
        <v>35</v>
      </c>
      <c r="F38" s="53"/>
      <c r="G38" s="53"/>
    </row>
    <row r="39" spans="1:13" x14ac:dyDescent="0.25">
      <c r="A39" s="53" t="s">
        <v>5</v>
      </c>
      <c r="B39" s="53"/>
      <c r="C39" s="53"/>
      <c r="E39" s="53" t="s">
        <v>5</v>
      </c>
      <c r="F39" s="53"/>
      <c r="G39" s="53"/>
    </row>
    <row r="40" spans="1:13" x14ac:dyDescent="0.25">
      <c r="A40" s="12">
        <v>1</v>
      </c>
      <c r="B40" s="11" t="s">
        <v>7</v>
      </c>
      <c r="C40" s="13">
        <v>154492.91</v>
      </c>
      <c r="E40" s="12">
        <v>1</v>
      </c>
      <c r="F40" s="11" t="s">
        <v>7</v>
      </c>
      <c r="G40" s="13">
        <v>159342.78</v>
      </c>
      <c r="I40" s="11" t="s">
        <v>7</v>
      </c>
      <c r="J40" s="13">
        <v>154492.91</v>
      </c>
      <c r="L40" s="11" t="s">
        <v>7</v>
      </c>
      <c r="M40" s="13">
        <v>159342.78</v>
      </c>
    </row>
    <row r="41" spans="1:13" x14ac:dyDescent="0.25">
      <c r="A41" s="12">
        <v>2</v>
      </c>
      <c r="B41" s="7" t="s">
        <v>6</v>
      </c>
      <c r="C41" s="13">
        <v>152502.18</v>
      </c>
      <c r="D41" s="12"/>
      <c r="E41" s="12">
        <v>2</v>
      </c>
      <c r="F41" s="7" t="s">
        <v>6</v>
      </c>
      <c r="G41" s="13">
        <v>154470.63</v>
      </c>
      <c r="I41" s="7" t="s">
        <v>6</v>
      </c>
      <c r="J41" s="13">
        <v>152502.18</v>
      </c>
      <c r="L41" s="7" t="s">
        <v>6</v>
      </c>
      <c r="M41" s="13">
        <v>154470.63</v>
      </c>
    </row>
    <row r="42" spans="1:13" x14ac:dyDescent="0.25">
      <c r="A42" s="12">
        <v>3</v>
      </c>
      <c r="B42" s="7" t="s">
        <v>10</v>
      </c>
      <c r="C42" s="13">
        <v>123115.35</v>
      </c>
      <c r="D42" s="12"/>
      <c r="E42" s="12">
        <v>3</v>
      </c>
      <c r="F42" s="7" t="s">
        <v>9</v>
      </c>
      <c r="G42" s="13">
        <v>126959.29</v>
      </c>
      <c r="I42" s="7" t="s">
        <v>10</v>
      </c>
      <c r="J42" s="13">
        <v>123115.35</v>
      </c>
      <c r="L42" s="7" t="s">
        <v>10</v>
      </c>
      <c r="M42" s="13">
        <v>116198.95</v>
      </c>
    </row>
    <row r="43" spans="1:13" x14ac:dyDescent="0.25">
      <c r="A43" s="12">
        <v>4</v>
      </c>
      <c r="B43" s="7" t="s">
        <v>8</v>
      </c>
      <c r="C43" s="13">
        <v>119996.33</v>
      </c>
      <c r="D43" s="12"/>
      <c r="E43" s="12">
        <v>4</v>
      </c>
      <c r="F43" s="7" t="s">
        <v>8</v>
      </c>
      <c r="G43" s="13">
        <v>124407.09</v>
      </c>
      <c r="I43" s="7" t="s">
        <v>8</v>
      </c>
      <c r="J43" s="13">
        <v>119996.33</v>
      </c>
      <c r="L43" s="7" t="s">
        <v>8</v>
      </c>
      <c r="M43" s="13">
        <v>124407.09</v>
      </c>
    </row>
    <row r="44" spans="1:13" x14ac:dyDescent="0.25">
      <c r="A44" s="12">
        <v>5</v>
      </c>
      <c r="B44" s="7" t="s">
        <v>9</v>
      </c>
      <c r="C44" s="13">
        <v>116002.3</v>
      </c>
      <c r="D44" s="12"/>
      <c r="E44" s="12">
        <v>5</v>
      </c>
      <c r="F44" s="7" t="s">
        <v>10</v>
      </c>
      <c r="G44" s="13">
        <v>116198.95</v>
      </c>
      <c r="I44" s="7" t="s">
        <v>9</v>
      </c>
      <c r="J44" s="13">
        <v>116002.3</v>
      </c>
      <c r="L44" s="7" t="s">
        <v>9</v>
      </c>
      <c r="M44" s="13">
        <v>126959.29</v>
      </c>
    </row>
    <row r="45" spans="1:13" x14ac:dyDescent="0.25">
      <c r="A45" s="12">
        <v>6</v>
      </c>
      <c r="B45" s="9" t="s">
        <v>11</v>
      </c>
      <c r="C45" s="14">
        <v>52933.17</v>
      </c>
      <c r="D45" s="12"/>
      <c r="E45" s="12">
        <v>6</v>
      </c>
      <c r="F45" s="9" t="s">
        <v>11</v>
      </c>
      <c r="G45" s="14">
        <v>61160.59</v>
      </c>
      <c r="I45" s="9" t="s">
        <v>11</v>
      </c>
      <c r="J45" s="14">
        <v>52933.17</v>
      </c>
      <c r="L45" s="9" t="s">
        <v>11</v>
      </c>
      <c r="M45" s="14">
        <v>61160.59</v>
      </c>
    </row>
    <row r="46" spans="1:13" x14ac:dyDescent="0.25">
      <c r="A46" s="12">
        <v>7</v>
      </c>
      <c r="B46" s="7" t="s">
        <v>12</v>
      </c>
      <c r="C46" s="13">
        <v>41283.65</v>
      </c>
      <c r="D46" s="12"/>
      <c r="E46" s="12">
        <v>7</v>
      </c>
      <c r="F46" s="7" t="s">
        <v>12</v>
      </c>
      <c r="G46" s="13">
        <v>44631.69</v>
      </c>
      <c r="I46" s="7" t="s">
        <v>12</v>
      </c>
      <c r="J46" s="13">
        <v>41283.65</v>
      </c>
      <c r="L46" s="7" t="s">
        <v>12</v>
      </c>
      <c r="M46" s="13">
        <v>44631.69</v>
      </c>
    </row>
    <row r="47" spans="1:13" x14ac:dyDescent="0.25">
      <c r="A47" s="12">
        <v>8</v>
      </c>
      <c r="B47" s="7" t="s">
        <v>13</v>
      </c>
      <c r="C47" s="13">
        <v>39041.57</v>
      </c>
      <c r="D47" s="12"/>
      <c r="E47" s="12">
        <v>8</v>
      </c>
      <c r="F47" s="7" t="s">
        <v>13</v>
      </c>
      <c r="G47" s="13">
        <v>42741.19</v>
      </c>
      <c r="I47" s="7" t="s">
        <v>13</v>
      </c>
      <c r="J47" s="13">
        <v>39041.57</v>
      </c>
      <c r="L47" s="7" t="s">
        <v>13</v>
      </c>
      <c r="M47" s="13">
        <v>42741.19</v>
      </c>
    </row>
    <row r="48" spans="1:13" x14ac:dyDescent="0.25">
      <c r="A48" s="12">
        <v>9</v>
      </c>
      <c r="B48" s="7" t="s">
        <v>14</v>
      </c>
      <c r="C48" s="13">
        <v>32159.4</v>
      </c>
      <c r="D48" s="12"/>
      <c r="E48" s="12">
        <v>9</v>
      </c>
      <c r="F48" s="7" t="s">
        <v>14</v>
      </c>
      <c r="G48" s="13">
        <v>34363.25</v>
      </c>
      <c r="I48" s="7" t="s">
        <v>14</v>
      </c>
      <c r="J48" s="13">
        <v>32159.4</v>
      </c>
      <c r="L48" s="7" t="s">
        <v>14</v>
      </c>
      <c r="M48" s="13">
        <v>34363.25</v>
      </c>
    </row>
    <row r="49" spans="1:13" x14ac:dyDescent="0.25">
      <c r="A49" s="12">
        <v>10</v>
      </c>
      <c r="B49" s="7" t="s">
        <v>15</v>
      </c>
      <c r="C49" s="13">
        <v>20193.04</v>
      </c>
      <c r="D49" s="12"/>
      <c r="E49" s="12">
        <v>10</v>
      </c>
      <c r="F49" s="7" t="s">
        <v>15</v>
      </c>
      <c r="G49" s="13">
        <v>21151.35</v>
      </c>
      <c r="I49" s="7" t="s">
        <v>15</v>
      </c>
      <c r="J49" s="13">
        <v>20193.04</v>
      </c>
      <c r="L49" s="7" t="s">
        <v>15</v>
      </c>
      <c r="M49" s="13">
        <v>21151.35</v>
      </c>
    </row>
    <row r="50" spans="1:13" x14ac:dyDescent="0.25">
      <c r="A50" s="41"/>
      <c r="B50" s="42"/>
      <c r="C50" s="43"/>
      <c r="F50" s="2"/>
      <c r="I50" s="44" t="s">
        <v>40</v>
      </c>
      <c r="J50" s="38">
        <v>11284.7</v>
      </c>
    </row>
    <row r="51" spans="1:13" x14ac:dyDescent="0.25">
      <c r="A51" s="2"/>
      <c r="B51" s="2"/>
    </row>
    <row r="52" spans="1:13" x14ac:dyDescent="0.25">
      <c r="A52" s="39"/>
      <c r="B52" s="39"/>
      <c r="C52" s="40"/>
      <c r="D52" s="40"/>
    </row>
    <row r="53" spans="1:13" ht="18" x14ac:dyDescent="0.25">
      <c r="A53" s="32" t="s">
        <v>20</v>
      </c>
      <c r="B53" s="32"/>
      <c r="C53" s="32"/>
      <c r="D53" s="45"/>
      <c r="E53" s="32" t="s">
        <v>20</v>
      </c>
      <c r="F53" s="32"/>
      <c r="G53" s="32"/>
    </row>
    <row r="54" spans="1:13" x14ac:dyDescent="0.25">
      <c r="A54" s="4"/>
      <c r="B54" s="51" t="s">
        <v>3</v>
      </c>
      <c r="C54" s="51"/>
      <c r="D54" s="46"/>
      <c r="E54" s="4"/>
      <c r="F54" s="51" t="s">
        <v>3</v>
      </c>
      <c r="G54" s="51"/>
    </row>
    <row r="55" spans="1:13" x14ac:dyDescent="0.25">
      <c r="A55" s="4"/>
      <c r="B55" s="30" t="s">
        <v>4</v>
      </c>
      <c r="C55" s="30"/>
      <c r="D55" s="47"/>
      <c r="E55" s="4"/>
      <c r="F55" s="30" t="s">
        <v>35</v>
      </c>
      <c r="G55" s="30"/>
    </row>
    <row r="56" spans="1:13" x14ac:dyDescent="0.25">
      <c r="A56" s="4"/>
      <c r="B56" s="51" t="s">
        <v>5</v>
      </c>
      <c r="C56" s="51"/>
      <c r="D56" s="46"/>
      <c r="E56" s="4"/>
      <c r="F56" s="51" t="s">
        <v>5</v>
      </c>
      <c r="G56" s="51"/>
    </row>
    <row r="57" spans="1:13" x14ac:dyDescent="0.25">
      <c r="A57" s="18" t="s">
        <v>22</v>
      </c>
      <c r="B57" s="18" t="s">
        <v>23</v>
      </c>
      <c r="C57" s="48" t="s">
        <v>24</v>
      </c>
      <c r="E57" s="18" t="s">
        <v>22</v>
      </c>
      <c r="F57" s="18" t="s">
        <v>23</v>
      </c>
      <c r="G57" s="18" t="s">
        <v>24</v>
      </c>
      <c r="I57" s="7"/>
      <c r="J57" s="13"/>
      <c r="L57" s="7"/>
      <c r="M57" s="13"/>
    </row>
    <row r="58" spans="1:13" x14ac:dyDescent="0.25">
      <c r="A58">
        <v>1</v>
      </c>
      <c r="B58" s="11" t="s">
        <v>7</v>
      </c>
      <c r="C58" s="13">
        <v>44729.74</v>
      </c>
      <c r="E58">
        <v>1</v>
      </c>
      <c r="F58" s="11" t="s">
        <v>7</v>
      </c>
      <c r="G58" s="13">
        <v>44269</v>
      </c>
      <c r="I58" s="11" t="s">
        <v>7</v>
      </c>
      <c r="J58" s="13">
        <v>44729.74</v>
      </c>
      <c r="L58" s="11" t="s">
        <v>7</v>
      </c>
      <c r="M58" s="13">
        <v>44269</v>
      </c>
    </row>
    <row r="59" spans="1:13" x14ac:dyDescent="0.25">
      <c r="A59">
        <v>2</v>
      </c>
      <c r="B59" s="7" t="s">
        <v>10</v>
      </c>
      <c r="C59" s="13">
        <v>21316.81</v>
      </c>
      <c r="E59">
        <v>2</v>
      </c>
      <c r="F59" s="7" t="s">
        <v>10</v>
      </c>
      <c r="G59" s="13">
        <v>22377.7</v>
      </c>
      <c r="I59" s="7" t="s">
        <v>10</v>
      </c>
      <c r="J59" s="13">
        <v>21316.81</v>
      </c>
      <c r="L59" s="7" t="s">
        <v>10</v>
      </c>
      <c r="M59" s="13">
        <v>22377.7</v>
      </c>
    </row>
    <row r="60" spans="1:13" x14ac:dyDescent="0.25">
      <c r="A60">
        <v>3</v>
      </c>
      <c r="B60" s="7" t="s">
        <v>6</v>
      </c>
      <c r="C60" s="13">
        <v>21095.84</v>
      </c>
      <c r="E60">
        <v>3</v>
      </c>
      <c r="F60" s="7" t="s">
        <v>6</v>
      </c>
      <c r="G60" s="13">
        <v>21832.33</v>
      </c>
      <c r="I60" s="7" t="s">
        <v>8</v>
      </c>
      <c r="J60" s="13">
        <v>20794.189999999999</v>
      </c>
      <c r="L60" s="7" t="s">
        <v>8</v>
      </c>
      <c r="M60" s="13">
        <v>21088.560000000001</v>
      </c>
    </row>
    <row r="61" spans="1:13" x14ac:dyDescent="0.25">
      <c r="A61">
        <v>4</v>
      </c>
      <c r="B61" s="7" t="s">
        <v>8</v>
      </c>
      <c r="C61" s="13">
        <v>20794.189999999999</v>
      </c>
      <c r="E61">
        <v>4</v>
      </c>
      <c r="F61" s="7" t="s">
        <v>8</v>
      </c>
      <c r="G61" s="13">
        <v>21088.560000000001</v>
      </c>
      <c r="I61" s="7" t="s">
        <v>6</v>
      </c>
      <c r="J61" s="13">
        <v>21095.84</v>
      </c>
      <c r="L61" s="7" t="s">
        <v>6</v>
      </c>
      <c r="M61" s="13">
        <v>21832.33</v>
      </c>
    </row>
    <row r="62" spans="1:13" x14ac:dyDescent="0.25">
      <c r="A62">
        <v>5</v>
      </c>
      <c r="B62" s="7" t="s">
        <v>9</v>
      </c>
      <c r="C62" s="13">
        <v>17901.400000000001</v>
      </c>
      <c r="E62">
        <v>5</v>
      </c>
      <c r="F62" s="7" t="s">
        <v>9</v>
      </c>
      <c r="G62" s="13">
        <v>19984.830000000002</v>
      </c>
      <c r="I62" s="7" t="s">
        <v>9</v>
      </c>
      <c r="J62" s="13">
        <v>17901.400000000001</v>
      </c>
      <c r="L62" s="7" t="s">
        <v>9</v>
      </c>
      <c r="M62" s="13">
        <v>19984.830000000002</v>
      </c>
    </row>
    <row r="63" spans="1:13" x14ac:dyDescent="0.25">
      <c r="A63">
        <v>6</v>
      </c>
      <c r="B63" s="7" t="s">
        <v>13</v>
      </c>
      <c r="C63" s="13">
        <v>16959.18</v>
      </c>
      <c r="E63">
        <v>6</v>
      </c>
      <c r="F63" s="7" t="s">
        <v>13</v>
      </c>
      <c r="G63" s="13">
        <v>18736.310000000001</v>
      </c>
      <c r="I63" s="7" t="s">
        <v>13</v>
      </c>
      <c r="J63" s="13">
        <v>16959.18</v>
      </c>
      <c r="L63" s="7" t="s">
        <v>13</v>
      </c>
      <c r="M63" s="13">
        <v>18736.310000000001</v>
      </c>
    </row>
    <row r="64" spans="1:13" x14ac:dyDescent="0.25">
      <c r="A64">
        <v>7</v>
      </c>
      <c r="B64" s="7" t="s">
        <v>12</v>
      </c>
      <c r="C64" s="13">
        <v>10342.33</v>
      </c>
      <c r="E64">
        <v>7</v>
      </c>
      <c r="F64" s="7" t="s">
        <v>12</v>
      </c>
      <c r="G64" s="13">
        <v>11853.33</v>
      </c>
      <c r="I64" s="7" t="s">
        <v>12</v>
      </c>
      <c r="J64" s="13">
        <v>10342.33</v>
      </c>
      <c r="L64" s="7" t="s">
        <v>12</v>
      </c>
      <c r="M64" s="13">
        <v>11853.33</v>
      </c>
    </row>
    <row r="65" spans="1:13" x14ac:dyDescent="0.25">
      <c r="A65">
        <v>8</v>
      </c>
      <c r="B65" s="11" t="s">
        <v>15</v>
      </c>
      <c r="C65" s="13">
        <v>8173.57</v>
      </c>
      <c r="E65">
        <v>8</v>
      </c>
      <c r="F65" s="11" t="s">
        <v>15</v>
      </c>
      <c r="G65" s="13">
        <v>8646.9500000000007</v>
      </c>
      <c r="I65" s="11" t="s">
        <v>15</v>
      </c>
      <c r="J65" s="13">
        <v>8173.57</v>
      </c>
      <c r="L65" s="11" t="s">
        <v>15</v>
      </c>
      <c r="M65" s="13">
        <v>8646.9500000000007</v>
      </c>
    </row>
    <row r="66" spans="1:13" x14ac:dyDescent="0.25">
      <c r="A66">
        <v>9</v>
      </c>
      <c r="B66" s="7" t="s">
        <v>14</v>
      </c>
      <c r="C66" s="20">
        <v>7563.36</v>
      </c>
      <c r="E66">
        <v>9</v>
      </c>
      <c r="F66" s="7" t="s">
        <v>14</v>
      </c>
      <c r="G66" s="20">
        <v>8420.7900000000009</v>
      </c>
      <c r="I66" s="7" t="s">
        <v>14</v>
      </c>
      <c r="J66" s="20">
        <v>7563.36</v>
      </c>
      <c r="L66" s="7" t="s">
        <v>14</v>
      </c>
      <c r="M66" s="20">
        <v>8420.7900000000009</v>
      </c>
    </row>
    <row r="67" spans="1:13" x14ac:dyDescent="0.25">
      <c r="A67">
        <v>10</v>
      </c>
      <c r="B67" s="9" t="s">
        <v>11</v>
      </c>
      <c r="C67" s="14">
        <v>5526.06</v>
      </c>
      <c r="E67">
        <v>10</v>
      </c>
      <c r="F67" s="9" t="s">
        <v>11</v>
      </c>
      <c r="G67" s="14">
        <v>5696.59</v>
      </c>
      <c r="I67" s="9" t="s">
        <v>11</v>
      </c>
      <c r="J67" s="14">
        <v>5526.06</v>
      </c>
      <c r="L67" s="9" t="s">
        <v>11</v>
      </c>
      <c r="M67" s="14">
        <v>5696.59</v>
      </c>
    </row>
    <row r="68" spans="1:13" x14ac:dyDescent="0.25">
      <c r="A68" s="2"/>
      <c r="B68" s="2"/>
    </row>
    <row r="70" spans="1:13" x14ac:dyDescent="0.25">
      <c r="A70" s="52"/>
      <c r="B70" s="52"/>
      <c r="C70" s="52"/>
      <c r="D70" s="52"/>
      <c r="E70" s="52"/>
      <c r="F70" s="52"/>
    </row>
    <row r="72" spans="1:13" ht="18" x14ac:dyDescent="0.25">
      <c r="A72" s="32" t="s">
        <v>1</v>
      </c>
      <c r="B72" s="32"/>
      <c r="C72" s="32"/>
      <c r="E72" s="32" t="s">
        <v>1</v>
      </c>
      <c r="F72" s="32"/>
      <c r="G72" s="32"/>
    </row>
    <row r="73" spans="1:13" x14ac:dyDescent="0.25">
      <c r="A73" s="53" t="s">
        <v>3</v>
      </c>
      <c r="B73" s="53"/>
      <c r="C73" s="53"/>
      <c r="E73" s="53" t="s">
        <v>3</v>
      </c>
      <c r="F73" s="53"/>
      <c r="G73" s="53"/>
    </row>
    <row r="74" spans="1:13" x14ac:dyDescent="0.25">
      <c r="A74" s="53" t="s">
        <v>4</v>
      </c>
      <c r="B74" s="53"/>
      <c r="C74" s="53"/>
      <c r="E74" s="53" t="s">
        <v>35</v>
      </c>
      <c r="F74" s="53"/>
      <c r="G74" s="53"/>
    </row>
    <row r="75" spans="1:13" x14ac:dyDescent="0.25">
      <c r="A75" s="53" t="s">
        <v>5</v>
      </c>
      <c r="B75" s="53"/>
      <c r="C75" s="53"/>
      <c r="E75" s="53" t="s">
        <v>5</v>
      </c>
      <c r="F75" s="53"/>
      <c r="G75" s="53"/>
    </row>
    <row r="76" spans="1:13" x14ac:dyDescent="0.25">
      <c r="A76" s="6">
        <v>3</v>
      </c>
      <c r="B76" s="7" t="s">
        <v>8</v>
      </c>
      <c r="C76" s="8">
        <v>136356.04</v>
      </c>
      <c r="D76" s="2">
        <v>1</v>
      </c>
      <c r="E76" s="6">
        <v>3</v>
      </c>
      <c r="F76" s="7" t="s">
        <v>8</v>
      </c>
      <c r="G76" s="8">
        <v>134200.91</v>
      </c>
      <c r="H76" s="2">
        <v>1</v>
      </c>
    </row>
    <row r="77" spans="1:13" x14ac:dyDescent="0.25">
      <c r="A77" s="6">
        <v>6</v>
      </c>
      <c r="B77" s="9" t="s">
        <v>11</v>
      </c>
      <c r="C77" s="10">
        <v>59083.54</v>
      </c>
      <c r="D77" s="2">
        <v>2</v>
      </c>
      <c r="E77" s="6">
        <v>6</v>
      </c>
      <c r="F77" s="9" t="s">
        <v>11</v>
      </c>
      <c r="G77" s="10">
        <v>67035.22</v>
      </c>
      <c r="H77" s="2">
        <v>2</v>
      </c>
    </row>
    <row r="78" spans="1:13" x14ac:dyDescent="0.25">
      <c r="A78" s="6">
        <v>8</v>
      </c>
      <c r="B78" s="7" t="s">
        <v>13</v>
      </c>
      <c r="C78" s="8">
        <v>37522.269999999997</v>
      </c>
      <c r="D78" s="2">
        <v>3</v>
      </c>
      <c r="E78" s="6">
        <v>8</v>
      </c>
      <c r="F78" s="7" t="s">
        <v>13</v>
      </c>
      <c r="G78" s="8">
        <v>39097.449999999997</v>
      </c>
      <c r="H78" s="2">
        <v>3</v>
      </c>
    </row>
    <row r="79" spans="1:13" x14ac:dyDescent="0.25">
      <c r="A79" s="6">
        <v>9</v>
      </c>
      <c r="B79" s="7" t="s">
        <v>14</v>
      </c>
      <c r="C79" s="8">
        <v>26163.11</v>
      </c>
      <c r="D79" s="2">
        <v>4</v>
      </c>
      <c r="E79" s="6">
        <v>9</v>
      </c>
      <c r="F79" s="7" t="s">
        <v>14</v>
      </c>
      <c r="G79" s="8">
        <v>27872.93</v>
      </c>
      <c r="H79" s="2">
        <v>4</v>
      </c>
    </row>
    <row r="80" spans="1:13" x14ac:dyDescent="0.25">
      <c r="A80" s="6">
        <v>10</v>
      </c>
      <c r="B80" s="7" t="s">
        <v>15</v>
      </c>
      <c r="C80" s="8">
        <v>20926.21</v>
      </c>
      <c r="D80" s="2">
        <v>5</v>
      </c>
      <c r="E80" s="6">
        <v>10</v>
      </c>
      <c r="F80" s="7" t="s">
        <v>15</v>
      </c>
      <c r="G80" s="8">
        <v>22922.720000000001</v>
      </c>
      <c r="H80" s="2">
        <v>5</v>
      </c>
    </row>
    <row r="82" spans="1:15" x14ac:dyDescent="0.25">
      <c r="N82" s="11"/>
      <c r="O82" s="13"/>
    </row>
    <row r="84" spans="1:15" ht="18" x14ac:dyDescent="0.25">
      <c r="A84" s="56" t="s">
        <v>16</v>
      </c>
      <c r="B84" s="56"/>
      <c r="C84" s="56"/>
      <c r="E84" s="56" t="s">
        <v>16</v>
      </c>
      <c r="F84" s="56"/>
      <c r="G84" s="56"/>
    </row>
    <row r="85" spans="1:15" x14ac:dyDescent="0.25">
      <c r="A85" s="53" t="s">
        <v>4</v>
      </c>
      <c r="B85" s="53"/>
      <c r="C85" s="53"/>
      <c r="E85" s="53" t="s">
        <v>35</v>
      </c>
      <c r="F85" s="53"/>
      <c r="G85" s="53"/>
    </row>
    <row r="86" spans="1:15" x14ac:dyDescent="0.25">
      <c r="A86" s="51" t="s">
        <v>5</v>
      </c>
      <c r="B86" s="51"/>
      <c r="C86" s="51"/>
      <c r="E86" s="51" t="s">
        <v>5</v>
      </c>
      <c r="F86" s="51"/>
      <c r="G86" s="51"/>
    </row>
    <row r="87" spans="1:15" x14ac:dyDescent="0.25">
      <c r="A87" s="12">
        <v>4</v>
      </c>
      <c r="B87" s="7" t="s">
        <v>8</v>
      </c>
      <c r="C87" s="13">
        <v>164937.5</v>
      </c>
      <c r="D87" s="2">
        <v>1</v>
      </c>
      <c r="E87" s="12">
        <v>4</v>
      </c>
      <c r="F87" s="7" t="s">
        <v>8</v>
      </c>
      <c r="G87" s="13">
        <v>164973.21</v>
      </c>
      <c r="H87" s="2">
        <v>1</v>
      </c>
    </row>
    <row r="88" spans="1:15" x14ac:dyDescent="0.25">
      <c r="A88" s="12">
        <v>6</v>
      </c>
      <c r="B88" s="9" t="s">
        <v>11</v>
      </c>
      <c r="C88" s="14">
        <v>67468.97</v>
      </c>
      <c r="D88" s="2">
        <v>2</v>
      </c>
      <c r="E88" s="12">
        <v>6</v>
      </c>
      <c r="F88" s="9" t="s">
        <v>11</v>
      </c>
      <c r="G88" s="14">
        <v>75573.179999999993</v>
      </c>
      <c r="H88" s="2">
        <v>2</v>
      </c>
    </row>
    <row r="89" spans="1:15" x14ac:dyDescent="0.25">
      <c r="A89" s="12">
        <v>8</v>
      </c>
      <c r="B89" t="s">
        <v>13</v>
      </c>
      <c r="C89" s="29">
        <v>57466.75</v>
      </c>
      <c r="D89" s="2">
        <v>3</v>
      </c>
      <c r="E89" s="12">
        <v>8</v>
      </c>
      <c r="F89" t="s">
        <v>13</v>
      </c>
      <c r="G89" s="29">
        <v>60825.53</v>
      </c>
      <c r="H89" s="2">
        <v>3</v>
      </c>
    </row>
    <row r="90" spans="1:15" x14ac:dyDescent="0.25">
      <c r="A90" s="12">
        <v>9</v>
      </c>
      <c r="B90" s="7" t="s">
        <v>14</v>
      </c>
      <c r="C90" s="13">
        <v>42366.84</v>
      </c>
      <c r="D90" s="2">
        <v>4</v>
      </c>
      <c r="E90" s="12">
        <v>9</v>
      </c>
      <c r="F90" s="7" t="s">
        <v>14</v>
      </c>
      <c r="G90" s="13">
        <v>46913.16</v>
      </c>
      <c r="H90" s="2">
        <v>4</v>
      </c>
    </row>
    <row r="91" spans="1:15" x14ac:dyDescent="0.25">
      <c r="A91" s="12">
        <v>10</v>
      </c>
      <c r="B91" s="7" t="s">
        <v>15</v>
      </c>
      <c r="C91" s="13">
        <v>30453.37</v>
      </c>
      <c r="D91" s="2">
        <v>5</v>
      </c>
      <c r="E91" s="12">
        <v>10</v>
      </c>
      <c r="F91" s="7" t="s">
        <v>15</v>
      </c>
      <c r="G91" s="13">
        <v>32864.5</v>
      </c>
      <c r="H91" s="2">
        <v>5</v>
      </c>
    </row>
    <row r="93" spans="1:15" ht="18" x14ac:dyDescent="0.25">
      <c r="A93" s="56" t="s">
        <v>18</v>
      </c>
      <c r="B93" s="56"/>
      <c r="C93" s="56"/>
      <c r="E93" s="56" t="s">
        <v>18</v>
      </c>
      <c r="F93" s="56"/>
      <c r="G93" s="56"/>
    </row>
    <row r="94" spans="1:15" x14ac:dyDescent="0.25">
      <c r="A94" s="53" t="s">
        <v>3</v>
      </c>
      <c r="B94" s="53"/>
      <c r="C94" s="53"/>
      <c r="E94" s="53" t="s">
        <v>3</v>
      </c>
      <c r="F94" s="53"/>
      <c r="G94" s="53"/>
    </row>
    <row r="95" spans="1:15" x14ac:dyDescent="0.25">
      <c r="A95" s="53" t="s">
        <v>4</v>
      </c>
      <c r="B95" s="53"/>
      <c r="C95" s="53"/>
      <c r="E95" s="53" t="s">
        <v>35</v>
      </c>
      <c r="F95" s="53"/>
      <c r="G95" s="53"/>
    </row>
    <row r="96" spans="1:15" x14ac:dyDescent="0.25">
      <c r="A96" s="53" t="s">
        <v>5</v>
      </c>
      <c r="B96" s="53"/>
      <c r="C96" s="53"/>
      <c r="E96" s="53" t="s">
        <v>5</v>
      </c>
      <c r="F96" s="53"/>
      <c r="G96" s="53"/>
    </row>
    <row r="97" spans="1:13" x14ac:dyDescent="0.25">
      <c r="A97" s="12">
        <v>4</v>
      </c>
      <c r="B97" s="7" t="s">
        <v>8</v>
      </c>
      <c r="C97" s="13">
        <v>119996.33</v>
      </c>
      <c r="D97" s="2">
        <v>1</v>
      </c>
      <c r="E97" s="12">
        <v>4</v>
      </c>
      <c r="F97" s="7" t="s">
        <v>8</v>
      </c>
      <c r="G97" s="13">
        <v>124407.09</v>
      </c>
      <c r="H97" s="2">
        <v>1</v>
      </c>
    </row>
    <row r="98" spans="1:13" x14ac:dyDescent="0.25">
      <c r="A98" s="12">
        <v>6</v>
      </c>
      <c r="B98" s="9" t="s">
        <v>11</v>
      </c>
      <c r="C98" s="14">
        <v>52933.17</v>
      </c>
      <c r="D98" s="2">
        <v>2</v>
      </c>
      <c r="E98" s="12">
        <v>6</v>
      </c>
      <c r="F98" s="9" t="s">
        <v>11</v>
      </c>
      <c r="G98" s="14">
        <v>61160.59</v>
      </c>
      <c r="H98" s="2">
        <v>2</v>
      </c>
    </row>
    <row r="99" spans="1:13" x14ac:dyDescent="0.25">
      <c r="A99" s="12">
        <v>8</v>
      </c>
      <c r="B99" s="7" t="s">
        <v>13</v>
      </c>
      <c r="C99" s="13">
        <v>39041.57</v>
      </c>
      <c r="D99" s="2">
        <v>3</v>
      </c>
      <c r="E99" s="12">
        <v>8</v>
      </c>
      <c r="F99" s="7" t="s">
        <v>13</v>
      </c>
      <c r="G99" s="13">
        <v>42631.69</v>
      </c>
      <c r="H99" s="2">
        <v>3</v>
      </c>
    </row>
    <row r="100" spans="1:13" x14ac:dyDescent="0.25">
      <c r="A100" s="12">
        <v>9</v>
      </c>
      <c r="B100" s="7" t="s">
        <v>14</v>
      </c>
      <c r="C100" s="13">
        <v>32159.4</v>
      </c>
      <c r="D100" s="2">
        <v>4</v>
      </c>
      <c r="E100" s="12">
        <v>9</v>
      </c>
      <c r="F100" s="7" t="s">
        <v>14</v>
      </c>
      <c r="G100" s="13">
        <v>34363.25</v>
      </c>
      <c r="H100" s="2">
        <v>4</v>
      </c>
    </row>
    <row r="101" spans="1:13" x14ac:dyDescent="0.25">
      <c r="A101" s="12">
        <v>10</v>
      </c>
      <c r="B101" s="7" t="s">
        <v>15</v>
      </c>
      <c r="C101" s="13">
        <v>20193.04</v>
      </c>
      <c r="D101" s="2">
        <v>5</v>
      </c>
      <c r="E101" s="12">
        <v>10</v>
      </c>
      <c r="F101" s="7" t="s">
        <v>15</v>
      </c>
      <c r="G101" s="13">
        <v>21151.35</v>
      </c>
      <c r="H101" s="2">
        <v>5</v>
      </c>
    </row>
    <row r="103" spans="1:13" ht="18" x14ac:dyDescent="0.25">
      <c r="A103" s="32" t="s">
        <v>20</v>
      </c>
      <c r="B103" s="32"/>
      <c r="C103" s="32"/>
      <c r="E103" s="32" t="s">
        <v>20</v>
      </c>
      <c r="F103" s="32"/>
      <c r="G103" s="32"/>
    </row>
    <row r="104" spans="1:13" x14ac:dyDescent="0.25">
      <c r="A104" s="4"/>
      <c r="B104" s="51" t="s">
        <v>3</v>
      </c>
      <c r="C104" s="51"/>
      <c r="E104" s="4"/>
      <c r="F104" s="51" t="s">
        <v>3</v>
      </c>
      <c r="G104" s="51"/>
    </row>
    <row r="105" spans="1:13" x14ac:dyDescent="0.25">
      <c r="A105" s="4"/>
      <c r="B105" s="30" t="s">
        <v>4</v>
      </c>
      <c r="C105" s="30"/>
      <c r="D105" s="47"/>
      <c r="E105" s="4"/>
      <c r="F105" s="30" t="s">
        <v>35</v>
      </c>
      <c r="G105" s="30"/>
    </row>
    <row r="106" spans="1:13" x14ac:dyDescent="0.25">
      <c r="A106" s="4"/>
      <c r="B106" s="51" t="s">
        <v>5</v>
      </c>
      <c r="C106" s="51"/>
      <c r="E106" s="4"/>
      <c r="F106" s="51" t="s">
        <v>5</v>
      </c>
      <c r="G106" s="51"/>
    </row>
    <row r="107" spans="1:13" x14ac:dyDescent="0.25">
      <c r="A107" s="18" t="s">
        <v>22</v>
      </c>
      <c r="B107" s="18" t="s">
        <v>23</v>
      </c>
      <c r="C107" s="48" t="s">
        <v>24</v>
      </c>
      <c r="E107" s="18" t="s">
        <v>22</v>
      </c>
      <c r="F107" s="18" t="s">
        <v>23</v>
      </c>
      <c r="G107" s="48" t="s">
        <v>24</v>
      </c>
    </row>
    <row r="108" spans="1:13" x14ac:dyDescent="0.25">
      <c r="A108">
        <v>4</v>
      </c>
      <c r="B108" s="7" t="s">
        <v>8</v>
      </c>
      <c r="C108" s="13">
        <v>20794.189999999999</v>
      </c>
      <c r="D108" s="2">
        <v>1</v>
      </c>
      <c r="E108">
        <v>4</v>
      </c>
      <c r="F108" s="7" t="s">
        <v>8</v>
      </c>
      <c r="G108" s="13">
        <v>21088.560000000001</v>
      </c>
      <c r="H108" s="2">
        <v>1</v>
      </c>
      <c r="I108" s="7" t="s">
        <v>8</v>
      </c>
      <c r="J108" s="13">
        <v>20794.189999999999</v>
      </c>
      <c r="L108" s="7" t="s">
        <v>8</v>
      </c>
      <c r="M108" s="13">
        <v>21088.560000000001</v>
      </c>
    </row>
    <row r="109" spans="1:13" x14ac:dyDescent="0.25">
      <c r="A109">
        <v>6</v>
      </c>
      <c r="B109" s="7" t="s">
        <v>13</v>
      </c>
      <c r="C109" s="13">
        <v>16959.18</v>
      </c>
      <c r="D109" s="2">
        <v>2</v>
      </c>
      <c r="E109">
        <v>6</v>
      </c>
      <c r="F109" s="7" t="s">
        <v>13</v>
      </c>
      <c r="G109" s="13">
        <v>18736.310000000001</v>
      </c>
      <c r="H109" s="2">
        <v>2</v>
      </c>
      <c r="I109" s="7" t="s">
        <v>13</v>
      </c>
      <c r="J109" s="13">
        <v>16959.18</v>
      </c>
      <c r="L109" s="7" t="s">
        <v>13</v>
      </c>
      <c r="M109" s="13">
        <v>18736.310000000001</v>
      </c>
    </row>
    <row r="110" spans="1:13" x14ac:dyDescent="0.25">
      <c r="A110">
        <v>8</v>
      </c>
      <c r="B110" s="7" t="s">
        <v>15</v>
      </c>
      <c r="C110" s="13">
        <v>8173.57</v>
      </c>
      <c r="D110" s="2">
        <v>3</v>
      </c>
      <c r="E110">
        <v>8</v>
      </c>
      <c r="F110" s="7" t="s">
        <v>15</v>
      </c>
      <c r="G110" s="13">
        <v>8646.9500000000007</v>
      </c>
      <c r="H110" s="2">
        <v>3</v>
      </c>
      <c r="I110" s="7" t="s">
        <v>15</v>
      </c>
      <c r="J110" s="13">
        <v>8173.57</v>
      </c>
      <c r="L110" s="7" t="s">
        <v>15</v>
      </c>
      <c r="M110" s="13">
        <v>8646.9500000000007</v>
      </c>
    </row>
    <row r="111" spans="1:13" x14ac:dyDescent="0.25">
      <c r="A111">
        <v>9</v>
      </c>
      <c r="B111" s="7" t="s">
        <v>14</v>
      </c>
      <c r="C111" s="13">
        <v>7563.36</v>
      </c>
      <c r="D111" s="2">
        <v>4</v>
      </c>
      <c r="E111">
        <v>9</v>
      </c>
      <c r="F111" s="7" t="s">
        <v>14</v>
      </c>
      <c r="G111" s="13">
        <v>8420.7900000000009</v>
      </c>
      <c r="H111" s="2">
        <v>4</v>
      </c>
      <c r="I111" s="7" t="s">
        <v>14</v>
      </c>
      <c r="J111" s="13">
        <v>7563.36</v>
      </c>
      <c r="L111" s="7" t="s">
        <v>14</v>
      </c>
      <c r="M111" s="13">
        <v>8420.7900000000009</v>
      </c>
    </row>
    <row r="112" spans="1:13" x14ac:dyDescent="0.25">
      <c r="A112">
        <v>10</v>
      </c>
      <c r="B112" s="9" t="s">
        <v>11</v>
      </c>
      <c r="C112" s="14">
        <v>5526.06</v>
      </c>
      <c r="D112" s="2">
        <v>5</v>
      </c>
      <c r="E112">
        <v>10</v>
      </c>
      <c r="F112" s="9" t="s">
        <v>11</v>
      </c>
      <c r="G112" s="14">
        <v>5696.59</v>
      </c>
      <c r="H112" s="2">
        <v>5</v>
      </c>
      <c r="I112" s="9" t="s">
        <v>11</v>
      </c>
      <c r="J112" s="14">
        <v>5526.06</v>
      </c>
      <c r="L112" s="9" t="s">
        <v>11</v>
      </c>
      <c r="M112" s="14">
        <v>5696.59</v>
      </c>
    </row>
  </sheetData>
  <mergeCells count="39">
    <mergeCell ref="A22:C22"/>
    <mergeCell ref="E22:G22"/>
    <mergeCell ref="A5:C5"/>
    <mergeCell ref="E5:G5"/>
    <mergeCell ref="A6:C6"/>
    <mergeCell ref="E6:G6"/>
    <mergeCell ref="A7:C7"/>
    <mergeCell ref="E7:G7"/>
    <mergeCell ref="A19:C19"/>
    <mergeCell ref="A20:C20"/>
    <mergeCell ref="E20:G20"/>
    <mergeCell ref="A21:C21"/>
    <mergeCell ref="E21:G21"/>
    <mergeCell ref="A36:C36"/>
    <mergeCell ref="E36:G36"/>
    <mergeCell ref="A37:C37"/>
    <mergeCell ref="E37:G37"/>
    <mergeCell ref="A38:C38"/>
    <mergeCell ref="E38:G38"/>
    <mergeCell ref="A39:C39"/>
    <mergeCell ref="E39:G39"/>
    <mergeCell ref="A73:C73"/>
    <mergeCell ref="E73:G73"/>
    <mergeCell ref="A74:C74"/>
    <mergeCell ref="E74:G74"/>
    <mergeCell ref="A75:C75"/>
    <mergeCell ref="E75:G75"/>
    <mergeCell ref="A84:C84"/>
    <mergeCell ref="E84:G84"/>
    <mergeCell ref="A85:C85"/>
    <mergeCell ref="E85:G85"/>
    <mergeCell ref="A96:C96"/>
    <mergeCell ref="E96:G96"/>
    <mergeCell ref="A93:C93"/>
    <mergeCell ref="E93:G93"/>
    <mergeCell ref="A94:C94"/>
    <mergeCell ref="E94:G94"/>
    <mergeCell ref="A95:C95"/>
    <mergeCell ref="E95:G9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4:O113"/>
  <sheetViews>
    <sheetView topLeftCell="G10" zoomScale="85" zoomScaleNormal="85" workbookViewId="0">
      <selection activeCell="B106" sqref="B106"/>
    </sheetView>
  </sheetViews>
  <sheetFormatPr defaultRowHeight="15" x14ac:dyDescent="0.25"/>
  <cols>
    <col min="1" max="1" width="9.7109375" customWidth="1"/>
    <col min="2" max="2" width="27.85546875" bestFit="1" customWidth="1"/>
    <col min="3" max="3" width="19.5703125" bestFit="1" customWidth="1"/>
    <col min="4" max="4" width="6.140625" bestFit="1" customWidth="1"/>
    <col min="5" max="5" width="14.140625" customWidth="1"/>
    <col min="6" max="6" width="27.85546875" bestFit="1" customWidth="1"/>
    <col min="7" max="7" width="22" customWidth="1"/>
    <col min="9" max="9" width="30" bestFit="1" customWidth="1"/>
    <col min="12" max="12" width="27.85546875" bestFit="1" customWidth="1"/>
  </cols>
  <sheetData>
    <row r="4" spans="1:13" ht="18" x14ac:dyDescent="0.25">
      <c r="A4" s="32" t="s">
        <v>1</v>
      </c>
      <c r="B4" s="32"/>
      <c r="C4" s="32"/>
      <c r="D4" s="33"/>
      <c r="E4" s="32" t="s">
        <v>1</v>
      </c>
      <c r="F4" s="32"/>
      <c r="G4" s="32"/>
    </row>
    <row r="5" spans="1:13" x14ac:dyDescent="0.25">
      <c r="A5" s="53" t="s">
        <v>3</v>
      </c>
      <c r="B5" s="53"/>
      <c r="C5" s="53"/>
      <c r="D5" s="34"/>
      <c r="E5" s="53" t="s">
        <v>3</v>
      </c>
      <c r="F5" s="53"/>
      <c r="G5" s="53"/>
    </row>
    <row r="6" spans="1:13" x14ac:dyDescent="0.25">
      <c r="A6" s="53" t="s">
        <v>38</v>
      </c>
      <c r="B6" s="53"/>
      <c r="C6" s="53"/>
      <c r="D6" s="34"/>
      <c r="E6" s="53" t="s">
        <v>35</v>
      </c>
      <c r="F6" s="53"/>
      <c r="G6" s="53"/>
    </row>
    <row r="7" spans="1:13" x14ac:dyDescent="0.25">
      <c r="A7" s="53" t="s">
        <v>5</v>
      </c>
      <c r="B7" s="53"/>
      <c r="C7" s="53"/>
      <c r="D7" s="34"/>
      <c r="E7" s="53" t="s">
        <v>5</v>
      </c>
      <c r="F7" s="53"/>
      <c r="G7" s="53"/>
    </row>
    <row r="8" spans="1:13" s="35" customFormat="1" x14ac:dyDescent="0.25">
      <c r="A8" s="6">
        <v>1</v>
      </c>
      <c r="B8" s="7" t="s">
        <v>6</v>
      </c>
      <c r="C8" s="8">
        <v>170728.89</v>
      </c>
      <c r="E8" s="6">
        <v>1</v>
      </c>
      <c r="F8" s="7" t="s">
        <v>6</v>
      </c>
      <c r="G8" s="8">
        <v>191444.7</v>
      </c>
      <c r="I8" s="7" t="s">
        <v>6</v>
      </c>
      <c r="J8" s="8">
        <v>170728.89</v>
      </c>
      <c r="L8" s="7" t="s">
        <v>6</v>
      </c>
      <c r="M8" s="8">
        <v>191444.7</v>
      </c>
    </row>
    <row r="9" spans="1:13" x14ac:dyDescent="0.25">
      <c r="A9" s="6">
        <v>2</v>
      </c>
      <c r="B9" s="7" t="s">
        <v>7</v>
      </c>
      <c r="C9" s="8">
        <v>169678.92</v>
      </c>
      <c r="E9" s="6">
        <v>2</v>
      </c>
      <c r="F9" s="7" t="s">
        <v>7</v>
      </c>
      <c r="G9" s="8">
        <v>177200.83</v>
      </c>
      <c r="I9" s="7" t="s">
        <v>7</v>
      </c>
      <c r="J9" s="8">
        <v>169678.92</v>
      </c>
      <c r="L9" s="7" t="s">
        <v>7</v>
      </c>
      <c r="M9" s="8">
        <v>177200.83</v>
      </c>
    </row>
    <row r="10" spans="1:13" x14ac:dyDescent="0.25">
      <c r="A10" s="6">
        <v>3</v>
      </c>
      <c r="B10" s="7" t="s">
        <v>8</v>
      </c>
      <c r="C10" s="8">
        <v>130715.98</v>
      </c>
      <c r="E10" s="6">
        <v>3</v>
      </c>
      <c r="F10" s="7" t="s">
        <v>8</v>
      </c>
      <c r="G10" s="8">
        <v>134200.91</v>
      </c>
      <c r="I10" s="7" t="s">
        <v>8</v>
      </c>
      <c r="J10" s="8">
        <v>130715.98</v>
      </c>
      <c r="L10" s="7" t="s">
        <v>8</v>
      </c>
      <c r="M10" s="8">
        <v>134200.91</v>
      </c>
    </row>
    <row r="11" spans="1:13" x14ac:dyDescent="0.25">
      <c r="A11" s="6">
        <v>4</v>
      </c>
      <c r="B11" s="7" t="s">
        <v>10</v>
      </c>
      <c r="C11" s="8">
        <v>93441.09</v>
      </c>
      <c r="E11" s="6">
        <v>4</v>
      </c>
      <c r="F11" s="7" t="s">
        <v>9</v>
      </c>
      <c r="G11" s="8">
        <v>113725.37</v>
      </c>
      <c r="I11" s="7" t="s">
        <v>9</v>
      </c>
      <c r="L11" s="7" t="s">
        <v>9</v>
      </c>
      <c r="M11" s="8">
        <v>113725.37</v>
      </c>
    </row>
    <row r="12" spans="1:13" x14ac:dyDescent="0.25">
      <c r="A12" s="6">
        <v>5</v>
      </c>
      <c r="B12" s="9" t="s">
        <v>11</v>
      </c>
      <c r="C12" s="10">
        <v>52139.78</v>
      </c>
      <c r="E12" s="6">
        <v>5</v>
      </c>
      <c r="F12" s="7" t="s">
        <v>10</v>
      </c>
      <c r="G12" s="8">
        <v>107207.15</v>
      </c>
      <c r="I12" s="7" t="s">
        <v>10</v>
      </c>
      <c r="J12" s="8">
        <v>93441.09</v>
      </c>
      <c r="L12" s="7" t="s">
        <v>10</v>
      </c>
      <c r="M12" s="8">
        <v>107207.15</v>
      </c>
    </row>
    <row r="13" spans="1:13" x14ac:dyDescent="0.25">
      <c r="A13" s="6">
        <v>6</v>
      </c>
      <c r="B13" s="7" t="s">
        <v>12</v>
      </c>
      <c r="C13" s="8">
        <v>43904.480000000003</v>
      </c>
      <c r="E13" s="6">
        <v>6</v>
      </c>
      <c r="F13" s="9" t="s">
        <v>11</v>
      </c>
      <c r="G13" s="10">
        <v>67035.22</v>
      </c>
      <c r="I13" s="9" t="s">
        <v>11</v>
      </c>
      <c r="J13" s="10">
        <v>52139.78</v>
      </c>
      <c r="L13" s="9" t="s">
        <v>11</v>
      </c>
      <c r="M13" s="10">
        <v>67035.22</v>
      </c>
    </row>
    <row r="14" spans="1:13" x14ac:dyDescent="0.25">
      <c r="A14" s="6">
        <v>7</v>
      </c>
      <c r="B14" s="7" t="s">
        <v>13</v>
      </c>
      <c r="C14" s="8">
        <v>33138.82</v>
      </c>
      <c r="E14" s="6">
        <v>7</v>
      </c>
      <c r="F14" s="7" t="s">
        <v>12</v>
      </c>
      <c r="G14" s="8">
        <v>50737.04</v>
      </c>
      <c r="I14" s="7" t="s">
        <v>12</v>
      </c>
      <c r="J14" s="8">
        <v>43904.480000000003</v>
      </c>
      <c r="L14" s="7" t="s">
        <v>12</v>
      </c>
      <c r="M14" s="8">
        <v>50737.04</v>
      </c>
    </row>
    <row r="15" spans="1:13" x14ac:dyDescent="0.25">
      <c r="A15" s="6">
        <v>8</v>
      </c>
      <c r="B15" s="7" t="s">
        <v>14</v>
      </c>
      <c r="C15" s="8">
        <v>25439.29</v>
      </c>
      <c r="E15" s="6">
        <v>8</v>
      </c>
      <c r="F15" s="7" t="s">
        <v>13</v>
      </c>
      <c r="G15" s="8">
        <v>39097.449999999997</v>
      </c>
      <c r="I15" s="7" t="s">
        <v>13</v>
      </c>
      <c r="J15" s="8">
        <v>33138.82</v>
      </c>
      <c r="L15" s="7" t="s">
        <v>13</v>
      </c>
      <c r="M15" s="8">
        <v>39097.449999999997</v>
      </c>
    </row>
    <row r="16" spans="1:13" x14ac:dyDescent="0.25">
      <c r="A16" s="6">
        <v>9</v>
      </c>
      <c r="B16" s="7" t="s">
        <v>15</v>
      </c>
      <c r="C16" s="8">
        <v>20120.66</v>
      </c>
      <c r="E16" s="6">
        <v>9</v>
      </c>
      <c r="F16" s="7" t="s">
        <v>14</v>
      </c>
      <c r="G16" s="8">
        <v>27872.93</v>
      </c>
      <c r="I16" s="7" t="s">
        <v>14</v>
      </c>
      <c r="J16" s="8">
        <v>25439.29</v>
      </c>
      <c r="L16" s="7" t="s">
        <v>14</v>
      </c>
      <c r="M16" s="8">
        <v>27872.93</v>
      </c>
    </row>
    <row r="17" spans="1:13" x14ac:dyDescent="0.25">
      <c r="A17" s="6">
        <v>10</v>
      </c>
      <c r="B17" s="11" t="s">
        <v>39</v>
      </c>
      <c r="C17" s="8">
        <v>14491.47</v>
      </c>
      <c r="E17" s="6">
        <v>10</v>
      </c>
      <c r="F17" s="7" t="s">
        <v>15</v>
      </c>
      <c r="G17" s="8">
        <v>22922.720000000001</v>
      </c>
      <c r="I17" s="7" t="s">
        <v>15</v>
      </c>
      <c r="J17" s="8">
        <v>20120.66</v>
      </c>
      <c r="L17" s="7" t="s">
        <v>15</v>
      </c>
      <c r="M17" s="8">
        <v>22922.720000000001</v>
      </c>
    </row>
    <row r="18" spans="1:13" x14ac:dyDescent="0.25">
      <c r="A18" s="2"/>
      <c r="B18" s="2"/>
      <c r="F18" s="2"/>
      <c r="I18" s="36" t="s">
        <v>39</v>
      </c>
      <c r="J18" s="37">
        <v>14491.47</v>
      </c>
    </row>
    <row r="19" spans="1:13" ht="18" x14ac:dyDescent="0.25">
      <c r="A19" s="57"/>
      <c r="B19" s="57"/>
      <c r="C19" s="57"/>
      <c r="F19" s="2"/>
    </row>
    <row r="20" spans="1:13" ht="18" x14ac:dyDescent="0.25">
      <c r="A20" s="56" t="s">
        <v>16</v>
      </c>
      <c r="B20" s="56"/>
      <c r="C20" s="56"/>
      <c r="E20" s="56" t="s">
        <v>16</v>
      </c>
      <c r="F20" s="56"/>
      <c r="G20" s="56"/>
    </row>
    <row r="21" spans="1:13" x14ac:dyDescent="0.25">
      <c r="A21" s="53" t="s">
        <v>38</v>
      </c>
      <c r="B21" s="53"/>
      <c r="C21" s="53"/>
      <c r="E21" s="53" t="s">
        <v>35</v>
      </c>
      <c r="F21" s="53"/>
      <c r="G21" s="53"/>
    </row>
    <row r="22" spans="1:13" x14ac:dyDescent="0.25">
      <c r="A22" s="53" t="s">
        <v>5</v>
      </c>
      <c r="B22" s="53"/>
      <c r="C22" s="53"/>
      <c r="E22" s="53" t="s">
        <v>5</v>
      </c>
      <c r="F22" s="53"/>
      <c r="G22" s="53"/>
    </row>
    <row r="23" spans="1:13" x14ac:dyDescent="0.25">
      <c r="A23" s="12">
        <v>1</v>
      </c>
      <c r="B23" s="7" t="s">
        <v>7</v>
      </c>
      <c r="C23" s="13">
        <v>220559.48</v>
      </c>
      <c r="E23" s="12">
        <v>1</v>
      </c>
      <c r="F23" s="7" t="s">
        <v>7</v>
      </c>
      <c r="G23" s="13">
        <v>232588.73</v>
      </c>
      <c r="I23" s="7" t="s">
        <v>7</v>
      </c>
      <c r="J23" s="13">
        <v>220559.48</v>
      </c>
      <c r="L23" s="7" t="s">
        <v>7</v>
      </c>
      <c r="M23" s="13">
        <v>232588.73</v>
      </c>
    </row>
    <row r="24" spans="1:13" x14ac:dyDescent="0.25">
      <c r="A24" s="12">
        <v>2</v>
      </c>
      <c r="B24" s="7" t="s">
        <v>6</v>
      </c>
      <c r="C24" s="13">
        <v>194961.41</v>
      </c>
      <c r="E24" s="12">
        <v>2</v>
      </c>
      <c r="F24" s="7" t="s">
        <v>6</v>
      </c>
      <c r="G24" s="13">
        <v>217536.44</v>
      </c>
      <c r="I24" s="7" t="s">
        <v>6</v>
      </c>
      <c r="J24" s="13">
        <v>194961.41</v>
      </c>
      <c r="L24" s="7" t="s">
        <v>6</v>
      </c>
      <c r="M24" s="13">
        <v>217536.44</v>
      </c>
    </row>
    <row r="25" spans="1:13" x14ac:dyDescent="0.25">
      <c r="A25" s="12">
        <v>3</v>
      </c>
      <c r="B25" s="7" t="s">
        <v>8</v>
      </c>
      <c r="C25" s="13">
        <v>161185.26999999999</v>
      </c>
      <c r="E25" s="12">
        <v>3</v>
      </c>
      <c r="F25" s="7" t="s">
        <v>10</v>
      </c>
      <c r="G25" s="13">
        <v>171953.32</v>
      </c>
      <c r="I25" s="7" t="s">
        <v>10</v>
      </c>
      <c r="J25" s="13">
        <v>153876.9</v>
      </c>
      <c r="L25" s="7" t="s">
        <v>10</v>
      </c>
      <c r="M25" s="13">
        <v>171953.32</v>
      </c>
    </row>
    <row r="26" spans="1:13" x14ac:dyDescent="0.25">
      <c r="A26" s="12">
        <v>4</v>
      </c>
      <c r="B26" s="7" t="s">
        <v>10</v>
      </c>
      <c r="C26" s="13">
        <v>153876.9</v>
      </c>
      <c r="E26" s="12">
        <v>4</v>
      </c>
      <c r="F26" s="7" t="s">
        <v>8</v>
      </c>
      <c r="G26" s="13">
        <v>164973.21</v>
      </c>
      <c r="I26" s="7" t="s">
        <v>8</v>
      </c>
      <c r="J26" s="13">
        <v>161185.26999999999</v>
      </c>
      <c r="L26" s="7" t="s">
        <v>8</v>
      </c>
      <c r="M26" s="13">
        <v>164973.21</v>
      </c>
    </row>
    <row r="27" spans="1:13" x14ac:dyDescent="0.25">
      <c r="A27" s="12">
        <v>5</v>
      </c>
      <c r="B27" s="9" t="s">
        <v>11</v>
      </c>
      <c r="C27" s="14">
        <v>60564.5</v>
      </c>
      <c r="E27" s="12">
        <v>5</v>
      </c>
      <c r="F27" s="7" t="s">
        <v>9</v>
      </c>
      <c r="G27" s="13">
        <v>159509.10999999999</v>
      </c>
      <c r="I27" s="7" t="s">
        <v>9</v>
      </c>
      <c r="L27" s="7" t="s">
        <v>9</v>
      </c>
      <c r="M27" s="13">
        <v>159509.10999999999</v>
      </c>
    </row>
    <row r="28" spans="1:13" x14ac:dyDescent="0.25">
      <c r="A28" s="12">
        <v>6</v>
      </c>
      <c r="B28" s="7" t="s">
        <v>12</v>
      </c>
      <c r="C28" s="13">
        <v>57361.64</v>
      </c>
      <c r="E28" s="12">
        <v>6</v>
      </c>
      <c r="F28" s="9" t="s">
        <v>11</v>
      </c>
      <c r="G28" s="14">
        <v>75573.179999999993</v>
      </c>
      <c r="I28" s="9" t="s">
        <v>11</v>
      </c>
      <c r="J28" s="14">
        <v>60564.5</v>
      </c>
      <c r="L28" s="9" t="s">
        <v>11</v>
      </c>
      <c r="M28" s="14">
        <v>75573.179999999993</v>
      </c>
    </row>
    <row r="29" spans="1:13" x14ac:dyDescent="0.25">
      <c r="A29" s="12">
        <v>7</v>
      </c>
      <c r="B29" s="7" t="s">
        <v>13</v>
      </c>
      <c r="C29" s="13">
        <v>53657.06</v>
      </c>
      <c r="E29" s="12">
        <v>7</v>
      </c>
      <c r="F29" s="7" t="s">
        <v>12</v>
      </c>
      <c r="G29" s="13">
        <v>67616.02</v>
      </c>
      <c r="I29" s="7" t="s">
        <v>12</v>
      </c>
      <c r="J29" s="13">
        <v>57361.64</v>
      </c>
      <c r="L29" s="7" t="s">
        <v>12</v>
      </c>
      <c r="M29" s="13">
        <v>67616.02</v>
      </c>
    </row>
    <row r="30" spans="1:13" x14ac:dyDescent="0.25">
      <c r="A30" s="12">
        <v>8</v>
      </c>
      <c r="B30" s="7" t="s">
        <v>14</v>
      </c>
      <c r="C30" s="13">
        <v>39142.28</v>
      </c>
      <c r="E30" s="12">
        <v>8</v>
      </c>
      <c r="F30" s="7" t="s">
        <v>13</v>
      </c>
      <c r="G30" s="13">
        <v>60825.53</v>
      </c>
      <c r="I30" s="7" t="s">
        <v>13</v>
      </c>
      <c r="J30" s="13">
        <v>53657.06</v>
      </c>
      <c r="L30" s="7" t="s">
        <v>13</v>
      </c>
      <c r="M30" s="13">
        <v>60825.53</v>
      </c>
    </row>
    <row r="31" spans="1:13" x14ac:dyDescent="0.25">
      <c r="A31" s="12">
        <v>9</v>
      </c>
      <c r="B31" s="7" t="s">
        <v>15</v>
      </c>
      <c r="C31" s="13">
        <v>29536.880000000001</v>
      </c>
      <c r="E31" s="12">
        <v>9</v>
      </c>
      <c r="F31" s="7" t="s">
        <v>14</v>
      </c>
      <c r="G31" s="13">
        <v>46913.16</v>
      </c>
      <c r="I31" s="7" t="s">
        <v>14</v>
      </c>
      <c r="J31" s="13">
        <v>39142.28</v>
      </c>
      <c r="L31" s="7" t="s">
        <v>14</v>
      </c>
      <c r="M31" s="13">
        <v>46913.16</v>
      </c>
    </row>
    <row r="32" spans="1:13" x14ac:dyDescent="0.25">
      <c r="A32" s="12">
        <v>10</v>
      </c>
      <c r="B32" s="11" t="s">
        <v>39</v>
      </c>
      <c r="C32" s="13">
        <v>17399.07</v>
      </c>
      <c r="E32" s="12">
        <v>10</v>
      </c>
      <c r="F32" s="7" t="s">
        <v>15</v>
      </c>
      <c r="G32" s="13">
        <v>32864.5</v>
      </c>
      <c r="I32" s="7" t="s">
        <v>15</v>
      </c>
      <c r="J32" s="13">
        <v>29536.880000000001</v>
      </c>
      <c r="L32" s="7" t="s">
        <v>15</v>
      </c>
      <c r="M32" s="13">
        <v>32864.5</v>
      </c>
    </row>
    <row r="33" spans="1:13" x14ac:dyDescent="0.25">
      <c r="A33" s="2"/>
      <c r="B33" s="2"/>
      <c r="F33" s="2"/>
      <c r="I33" s="36" t="s">
        <v>39</v>
      </c>
      <c r="J33" s="38">
        <v>17399.07</v>
      </c>
    </row>
    <row r="34" spans="1:13" x14ac:dyDescent="0.25">
      <c r="A34" s="2"/>
      <c r="B34" s="2"/>
      <c r="F34" s="2"/>
    </row>
    <row r="35" spans="1:13" x14ac:dyDescent="0.25">
      <c r="A35" s="39"/>
      <c r="B35" s="39"/>
      <c r="C35" s="40"/>
      <c r="D35" s="40"/>
      <c r="F35" s="2"/>
    </row>
    <row r="36" spans="1:13" ht="18" x14ac:dyDescent="0.25">
      <c r="A36" s="56" t="s">
        <v>18</v>
      </c>
      <c r="B36" s="56"/>
      <c r="C36" s="56"/>
      <c r="D36" s="40"/>
      <c r="E36" s="56" t="s">
        <v>18</v>
      </c>
      <c r="F36" s="56"/>
      <c r="G36" s="56"/>
    </row>
    <row r="37" spans="1:13" x14ac:dyDescent="0.25">
      <c r="A37" s="53" t="s">
        <v>3</v>
      </c>
      <c r="B37" s="53"/>
      <c r="C37" s="53"/>
      <c r="D37" s="40"/>
      <c r="E37" s="53" t="s">
        <v>3</v>
      </c>
      <c r="F37" s="53"/>
      <c r="G37" s="53"/>
    </row>
    <row r="38" spans="1:13" x14ac:dyDescent="0.25">
      <c r="A38" s="53" t="s">
        <v>38</v>
      </c>
      <c r="B38" s="53"/>
      <c r="C38" s="53"/>
      <c r="E38" s="53" t="s">
        <v>35</v>
      </c>
      <c r="F38" s="53"/>
      <c r="G38" s="53"/>
    </row>
    <row r="39" spans="1:13" x14ac:dyDescent="0.25">
      <c r="A39" s="53" t="s">
        <v>5</v>
      </c>
      <c r="B39" s="53"/>
      <c r="C39" s="53"/>
      <c r="E39" s="53" t="s">
        <v>5</v>
      </c>
      <c r="F39" s="53"/>
      <c r="G39" s="53"/>
    </row>
    <row r="40" spans="1:13" x14ac:dyDescent="0.25">
      <c r="A40" s="12">
        <v>1</v>
      </c>
      <c r="B40" s="11" t="s">
        <v>7</v>
      </c>
      <c r="C40" s="13">
        <v>154426.26</v>
      </c>
      <c r="E40" s="12">
        <v>1</v>
      </c>
      <c r="F40" s="11" t="s">
        <v>7</v>
      </c>
      <c r="G40" s="13">
        <v>159342.78</v>
      </c>
      <c r="I40" s="11" t="s">
        <v>7</v>
      </c>
      <c r="J40" s="13">
        <v>154426.26</v>
      </c>
      <c r="L40" s="11" t="s">
        <v>7</v>
      </c>
      <c r="M40" s="13">
        <v>159342.78</v>
      </c>
    </row>
    <row r="41" spans="1:13" x14ac:dyDescent="0.25">
      <c r="A41" s="12">
        <v>2</v>
      </c>
      <c r="B41" s="7" t="s">
        <v>6</v>
      </c>
      <c r="C41" s="13">
        <v>143611.69</v>
      </c>
      <c r="D41" s="12"/>
      <c r="E41" s="12">
        <v>2</v>
      </c>
      <c r="F41" s="7" t="s">
        <v>6</v>
      </c>
      <c r="G41" s="13">
        <v>154470.63</v>
      </c>
      <c r="I41" s="7" t="s">
        <v>6</v>
      </c>
      <c r="J41" s="13">
        <v>143611.69</v>
      </c>
      <c r="L41" s="7" t="s">
        <v>6</v>
      </c>
      <c r="M41" s="13">
        <v>154470.63</v>
      </c>
    </row>
    <row r="42" spans="1:13" x14ac:dyDescent="0.25">
      <c r="A42" s="12">
        <v>3</v>
      </c>
      <c r="B42" s="7" t="s">
        <v>8</v>
      </c>
      <c r="C42" s="13">
        <v>121748.11</v>
      </c>
      <c r="D42" s="12"/>
      <c r="E42" s="12">
        <v>3</v>
      </c>
      <c r="F42" s="7" t="s">
        <v>9</v>
      </c>
      <c r="G42" s="13">
        <v>126959.29</v>
      </c>
      <c r="I42" s="7" t="s">
        <v>10</v>
      </c>
      <c r="J42" s="13">
        <v>105030.03</v>
      </c>
      <c r="L42" s="7" t="s">
        <v>9</v>
      </c>
      <c r="M42" s="13">
        <v>126959.29</v>
      </c>
    </row>
    <row r="43" spans="1:13" x14ac:dyDescent="0.25">
      <c r="A43" s="12">
        <v>4</v>
      </c>
      <c r="B43" s="7" t="s">
        <v>10</v>
      </c>
      <c r="C43" s="13">
        <v>105030.03</v>
      </c>
      <c r="D43" s="12"/>
      <c r="E43" s="12">
        <v>4</v>
      </c>
      <c r="F43" s="7" t="s">
        <v>8</v>
      </c>
      <c r="G43" s="13">
        <v>124407.09</v>
      </c>
      <c r="I43" s="7" t="s">
        <v>8</v>
      </c>
      <c r="J43" s="13">
        <v>121748.11</v>
      </c>
      <c r="L43" s="7" t="s">
        <v>8</v>
      </c>
      <c r="M43" s="13">
        <v>124407.09</v>
      </c>
    </row>
    <row r="44" spans="1:13" x14ac:dyDescent="0.25">
      <c r="A44" s="12">
        <v>5</v>
      </c>
      <c r="B44" s="9" t="s">
        <v>11</v>
      </c>
      <c r="C44" s="14">
        <v>46342.23</v>
      </c>
      <c r="D44" s="12"/>
      <c r="E44" s="12">
        <v>5</v>
      </c>
      <c r="F44" s="7" t="s">
        <v>10</v>
      </c>
      <c r="G44" s="13">
        <v>116198.95</v>
      </c>
      <c r="I44" s="7" t="s">
        <v>9</v>
      </c>
      <c r="L44" s="7" t="s">
        <v>10</v>
      </c>
      <c r="M44" s="13">
        <v>116198.95</v>
      </c>
    </row>
    <row r="45" spans="1:13" x14ac:dyDescent="0.25">
      <c r="A45" s="12">
        <v>6</v>
      </c>
      <c r="B45" s="7" t="s">
        <v>12</v>
      </c>
      <c r="C45" s="13">
        <v>42385.88</v>
      </c>
      <c r="D45" s="12"/>
      <c r="E45" s="12">
        <v>6</v>
      </c>
      <c r="F45" s="9" t="s">
        <v>11</v>
      </c>
      <c r="G45" s="14">
        <v>61160.59</v>
      </c>
      <c r="I45" s="9" t="s">
        <v>11</v>
      </c>
      <c r="J45" s="14">
        <v>46342.23</v>
      </c>
      <c r="L45" s="9" t="s">
        <v>11</v>
      </c>
      <c r="M45" s="14">
        <v>61160.59</v>
      </c>
    </row>
    <row r="46" spans="1:13" x14ac:dyDescent="0.25">
      <c r="A46" s="12">
        <v>7</v>
      </c>
      <c r="B46" s="7" t="s">
        <v>13</v>
      </c>
      <c r="C46" s="13">
        <v>36500.39</v>
      </c>
      <c r="D46" s="12"/>
      <c r="E46" s="12">
        <v>7</v>
      </c>
      <c r="F46" s="7" t="s">
        <v>12</v>
      </c>
      <c r="G46" s="13">
        <v>44631.69</v>
      </c>
      <c r="I46" s="7" t="s">
        <v>12</v>
      </c>
      <c r="J46" s="13">
        <v>42385.88</v>
      </c>
      <c r="L46" s="7" t="s">
        <v>12</v>
      </c>
      <c r="M46" s="13">
        <v>44631.69</v>
      </c>
    </row>
    <row r="47" spans="1:13" x14ac:dyDescent="0.25">
      <c r="A47" s="12">
        <v>8</v>
      </c>
      <c r="B47" s="7" t="s">
        <v>14</v>
      </c>
      <c r="C47" s="13">
        <v>29263.21</v>
      </c>
      <c r="D47" s="12"/>
      <c r="E47" s="12">
        <v>8</v>
      </c>
      <c r="F47" s="7" t="s">
        <v>13</v>
      </c>
      <c r="G47" s="13">
        <v>42741.19</v>
      </c>
      <c r="I47" s="7" t="s">
        <v>13</v>
      </c>
      <c r="J47" s="13">
        <v>36500.39</v>
      </c>
      <c r="L47" s="7" t="s">
        <v>13</v>
      </c>
      <c r="M47" s="13">
        <v>42741.19</v>
      </c>
    </row>
    <row r="48" spans="1:13" x14ac:dyDescent="0.25">
      <c r="A48" s="12">
        <v>9</v>
      </c>
      <c r="B48" s="7" t="s">
        <v>15</v>
      </c>
      <c r="C48" s="13">
        <v>19954.59</v>
      </c>
      <c r="D48" s="12"/>
      <c r="E48" s="12">
        <v>9</v>
      </c>
      <c r="F48" s="7" t="s">
        <v>14</v>
      </c>
      <c r="G48" s="13">
        <v>34363.25</v>
      </c>
      <c r="I48" s="7" t="s">
        <v>14</v>
      </c>
      <c r="J48" s="13">
        <v>29263.21</v>
      </c>
      <c r="L48" s="7" t="s">
        <v>14</v>
      </c>
      <c r="M48" s="13">
        <v>34363.25</v>
      </c>
    </row>
    <row r="49" spans="1:13" x14ac:dyDescent="0.25">
      <c r="A49" s="12">
        <v>10</v>
      </c>
      <c r="B49" s="7" t="s">
        <v>40</v>
      </c>
      <c r="C49" s="13">
        <v>11284.7</v>
      </c>
      <c r="D49" s="12"/>
      <c r="E49" s="12">
        <v>10</v>
      </c>
      <c r="F49" s="7" t="s">
        <v>15</v>
      </c>
      <c r="G49" s="13">
        <v>21151.35</v>
      </c>
      <c r="I49" s="7" t="s">
        <v>15</v>
      </c>
      <c r="J49" s="13">
        <v>19954.59</v>
      </c>
      <c r="L49" s="7" t="s">
        <v>15</v>
      </c>
      <c r="M49" s="13">
        <v>21151.35</v>
      </c>
    </row>
    <row r="50" spans="1:13" x14ac:dyDescent="0.25">
      <c r="A50" s="41"/>
      <c r="B50" s="42"/>
      <c r="C50" s="43"/>
      <c r="F50" s="2"/>
      <c r="I50" s="44" t="s">
        <v>40</v>
      </c>
      <c r="J50" s="38">
        <v>11284.7</v>
      </c>
    </row>
    <row r="51" spans="1:13" x14ac:dyDescent="0.25">
      <c r="A51" s="2"/>
      <c r="B51" s="2"/>
    </row>
    <row r="52" spans="1:13" x14ac:dyDescent="0.25">
      <c r="A52" s="39"/>
      <c r="B52" s="39"/>
      <c r="C52" s="40"/>
      <c r="D52" s="40"/>
    </row>
    <row r="53" spans="1:13" ht="18" x14ac:dyDescent="0.25">
      <c r="A53" s="32" t="s">
        <v>20</v>
      </c>
      <c r="B53" s="32"/>
      <c r="C53" s="32"/>
      <c r="D53" s="45"/>
      <c r="E53" s="32" t="s">
        <v>20</v>
      </c>
      <c r="F53" s="32"/>
      <c r="G53" s="32"/>
    </row>
    <row r="54" spans="1:13" x14ac:dyDescent="0.25">
      <c r="A54" s="4"/>
      <c r="B54" s="31" t="s">
        <v>3</v>
      </c>
      <c r="C54" s="31"/>
      <c r="D54" s="46"/>
      <c r="E54" s="4"/>
      <c r="F54" s="31" t="s">
        <v>3</v>
      </c>
      <c r="G54" s="31"/>
    </row>
    <row r="55" spans="1:13" x14ac:dyDescent="0.25">
      <c r="A55" s="4"/>
      <c r="B55" s="30" t="s">
        <v>38</v>
      </c>
      <c r="C55" s="30"/>
      <c r="D55" s="47"/>
      <c r="E55" s="4"/>
      <c r="F55" s="30" t="s">
        <v>35</v>
      </c>
      <c r="G55" s="30"/>
    </row>
    <row r="56" spans="1:13" x14ac:dyDescent="0.25">
      <c r="A56" s="4"/>
      <c r="B56" s="31" t="s">
        <v>5</v>
      </c>
      <c r="C56" s="31"/>
      <c r="D56" s="46"/>
      <c r="E56" s="4"/>
      <c r="F56" s="31" t="s">
        <v>5</v>
      </c>
      <c r="G56" s="31"/>
      <c r="I56" s="7" t="s">
        <v>9</v>
      </c>
    </row>
    <row r="57" spans="1:13" x14ac:dyDescent="0.25">
      <c r="A57" s="18" t="s">
        <v>22</v>
      </c>
      <c r="B57" s="18" t="s">
        <v>23</v>
      </c>
      <c r="C57" s="48" t="s">
        <v>24</v>
      </c>
      <c r="E57" s="18" t="s">
        <v>22</v>
      </c>
      <c r="F57" s="18" t="s">
        <v>23</v>
      </c>
      <c r="G57" s="18" t="s">
        <v>24</v>
      </c>
      <c r="I57" s="49" t="s">
        <v>41</v>
      </c>
      <c r="J57" s="38">
        <v>3422.32</v>
      </c>
      <c r="L57" s="7"/>
      <c r="M57" s="13"/>
    </row>
    <row r="58" spans="1:13" x14ac:dyDescent="0.25">
      <c r="A58">
        <v>1</v>
      </c>
      <c r="B58" s="11" t="s">
        <v>7</v>
      </c>
      <c r="C58" s="13">
        <v>43676.29</v>
      </c>
      <c r="E58">
        <v>1</v>
      </c>
      <c r="F58" s="11" t="s">
        <v>7</v>
      </c>
      <c r="G58" s="13">
        <v>44269</v>
      </c>
      <c r="I58" s="11" t="s">
        <v>7</v>
      </c>
      <c r="J58" s="13">
        <v>43676.29</v>
      </c>
      <c r="L58" s="11" t="s">
        <v>7</v>
      </c>
      <c r="M58" s="13">
        <v>44269</v>
      </c>
    </row>
    <row r="59" spans="1:13" x14ac:dyDescent="0.25">
      <c r="A59">
        <v>2</v>
      </c>
      <c r="B59" s="7" t="s">
        <v>10</v>
      </c>
      <c r="C59" s="13">
        <v>21625.84</v>
      </c>
      <c r="E59">
        <v>2</v>
      </c>
      <c r="F59" s="7" t="s">
        <v>10</v>
      </c>
      <c r="G59" s="13">
        <v>22377.7</v>
      </c>
      <c r="I59" s="7" t="s">
        <v>10</v>
      </c>
      <c r="J59" s="13">
        <v>21625.84</v>
      </c>
      <c r="L59" s="7" t="s">
        <v>10</v>
      </c>
      <c r="M59" s="13">
        <v>22377.7</v>
      </c>
    </row>
    <row r="60" spans="1:13" x14ac:dyDescent="0.25">
      <c r="A60">
        <v>3</v>
      </c>
      <c r="B60" s="7" t="s">
        <v>8</v>
      </c>
      <c r="C60" s="13">
        <v>20084.830000000002</v>
      </c>
      <c r="E60">
        <v>3</v>
      </c>
      <c r="F60" s="7" t="s">
        <v>6</v>
      </c>
      <c r="G60" s="13">
        <v>21832.33</v>
      </c>
      <c r="I60" s="7" t="s">
        <v>8</v>
      </c>
      <c r="J60" s="13">
        <v>20084.830000000002</v>
      </c>
      <c r="L60" s="7" t="s">
        <v>8</v>
      </c>
      <c r="M60" s="13">
        <v>21088.560000000001</v>
      </c>
    </row>
    <row r="61" spans="1:13" x14ac:dyDescent="0.25">
      <c r="A61">
        <v>4</v>
      </c>
      <c r="B61" s="7" t="s">
        <v>6</v>
      </c>
      <c r="C61" s="13">
        <v>19268.919999999998</v>
      </c>
      <c r="E61">
        <v>4</v>
      </c>
      <c r="F61" s="7" t="s">
        <v>8</v>
      </c>
      <c r="G61" s="13">
        <v>21088.560000000001</v>
      </c>
      <c r="I61" s="7" t="s">
        <v>6</v>
      </c>
      <c r="J61" s="13">
        <v>19268.919999999998</v>
      </c>
      <c r="L61" s="7" t="s">
        <v>6</v>
      </c>
      <c r="M61" s="13">
        <v>21832.33</v>
      </c>
    </row>
    <row r="62" spans="1:13" x14ac:dyDescent="0.25">
      <c r="A62">
        <v>5</v>
      </c>
      <c r="B62" s="7" t="s">
        <v>13</v>
      </c>
      <c r="C62" s="13">
        <v>18034.79</v>
      </c>
      <c r="E62">
        <v>5</v>
      </c>
      <c r="F62" s="7" t="s">
        <v>9</v>
      </c>
      <c r="G62" s="13">
        <v>19984.830000000002</v>
      </c>
      <c r="I62" s="7" t="s">
        <v>9</v>
      </c>
      <c r="L62" s="7" t="s">
        <v>9</v>
      </c>
      <c r="M62" s="13">
        <v>19984.830000000002</v>
      </c>
    </row>
    <row r="63" spans="1:13" x14ac:dyDescent="0.25">
      <c r="A63">
        <v>6</v>
      </c>
      <c r="B63" s="7" t="s">
        <v>12</v>
      </c>
      <c r="C63" s="13">
        <v>8989.56</v>
      </c>
      <c r="E63">
        <v>6</v>
      </c>
      <c r="F63" s="7" t="s">
        <v>13</v>
      </c>
      <c r="G63" s="13">
        <v>18736.310000000001</v>
      </c>
      <c r="I63" s="7" t="s">
        <v>13</v>
      </c>
      <c r="J63" s="13">
        <v>18034.79</v>
      </c>
      <c r="L63" s="7" t="s">
        <v>13</v>
      </c>
      <c r="M63" s="13">
        <v>18736.310000000001</v>
      </c>
    </row>
    <row r="64" spans="1:13" x14ac:dyDescent="0.25">
      <c r="A64">
        <v>7</v>
      </c>
      <c r="B64" s="11" t="s">
        <v>15</v>
      </c>
      <c r="C64" s="13">
        <v>7760.45</v>
      </c>
      <c r="E64">
        <v>7</v>
      </c>
      <c r="F64" s="7" t="s">
        <v>12</v>
      </c>
      <c r="G64" s="13">
        <v>11853.33</v>
      </c>
      <c r="I64" s="7" t="s">
        <v>12</v>
      </c>
      <c r="J64" s="13">
        <v>8989.56</v>
      </c>
      <c r="L64" s="7" t="s">
        <v>12</v>
      </c>
      <c r="M64" s="13">
        <v>11853.33</v>
      </c>
    </row>
    <row r="65" spans="1:13" x14ac:dyDescent="0.25">
      <c r="A65">
        <v>8</v>
      </c>
      <c r="B65" s="7" t="s">
        <v>14</v>
      </c>
      <c r="C65" s="13">
        <v>6807.42</v>
      </c>
      <c r="E65">
        <v>8</v>
      </c>
      <c r="F65" s="11" t="s">
        <v>15</v>
      </c>
      <c r="G65" s="13">
        <v>8646.9500000000007</v>
      </c>
      <c r="I65" s="11" t="s">
        <v>15</v>
      </c>
      <c r="J65" s="13">
        <v>7760.45</v>
      </c>
      <c r="L65" s="11" t="s">
        <v>15</v>
      </c>
      <c r="M65" s="13">
        <v>8646.9500000000007</v>
      </c>
    </row>
    <row r="66" spans="1:13" x14ac:dyDescent="0.25">
      <c r="A66">
        <v>9</v>
      </c>
      <c r="B66" s="9" t="s">
        <v>11</v>
      </c>
      <c r="C66" s="14">
        <v>5144.34</v>
      </c>
      <c r="E66">
        <v>9</v>
      </c>
      <c r="F66" s="7" t="s">
        <v>14</v>
      </c>
      <c r="G66" s="20">
        <v>8420.7900000000009</v>
      </c>
      <c r="I66" s="7" t="s">
        <v>14</v>
      </c>
      <c r="J66" s="13">
        <v>6807.42</v>
      </c>
      <c r="L66" s="7" t="s">
        <v>14</v>
      </c>
      <c r="M66" s="20">
        <v>8420.7900000000009</v>
      </c>
    </row>
    <row r="67" spans="1:13" x14ac:dyDescent="0.25">
      <c r="A67">
        <v>10</v>
      </c>
      <c r="B67" s="2" t="s">
        <v>41</v>
      </c>
      <c r="C67" s="13">
        <v>3422.32</v>
      </c>
      <c r="E67">
        <v>10</v>
      </c>
      <c r="F67" s="9" t="s">
        <v>11</v>
      </c>
      <c r="G67" s="14">
        <v>5696.59</v>
      </c>
      <c r="I67" s="9" t="s">
        <v>11</v>
      </c>
      <c r="J67" s="14">
        <v>5144.34</v>
      </c>
      <c r="L67" s="9" t="s">
        <v>11</v>
      </c>
      <c r="M67" s="14">
        <v>5696.59</v>
      </c>
    </row>
    <row r="68" spans="1:13" x14ac:dyDescent="0.25">
      <c r="A68" s="2"/>
      <c r="B68" s="2"/>
    </row>
    <row r="72" spans="1:13" ht="18" x14ac:dyDescent="0.25">
      <c r="A72" s="32" t="s">
        <v>1</v>
      </c>
      <c r="B72" s="32"/>
      <c r="C72" s="32"/>
      <c r="E72" s="32" t="s">
        <v>1</v>
      </c>
      <c r="F72" s="32"/>
      <c r="G72" s="32"/>
    </row>
    <row r="73" spans="1:13" x14ac:dyDescent="0.25">
      <c r="A73" s="53" t="s">
        <v>3</v>
      </c>
      <c r="B73" s="53"/>
      <c r="C73" s="53"/>
      <c r="E73" s="53" t="s">
        <v>3</v>
      </c>
      <c r="F73" s="53"/>
      <c r="G73" s="53"/>
    </row>
    <row r="74" spans="1:13" x14ac:dyDescent="0.25">
      <c r="A74" s="53" t="s">
        <v>38</v>
      </c>
      <c r="B74" s="53"/>
      <c r="C74" s="53"/>
      <c r="E74" s="53" t="s">
        <v>35</v>
      </c>
      <c r="F74" s="53"/>
      <c r="G74" s="53"/>
    </row>
    <row r="75" spans="1:13" x14ac:dyDescent="0.25">
      <c r="A75" s="53" t="s">
        <v>5</v>
      </c>
      <c r="B75" s="53"/>
      <c r="C75" s="53"/>
      <c r="E75" s="53" t="s">
        <v>5</v>
      </c>
      <c r="F75" s="53"/>
      <c r="G75" s="53"/>
    </row>
    <row r="76" spans="1:13" x14ac:dyDescent="0.25">
      <c r="A76" s="6">
        <v>3</v>
      </c>
      <c r="B76" s="7" t="s">
        <v>8</v>
      </c>
      <c r="C76" s="8">
        <v>130715.98</v>
      </c>
      <c r="D76" s="2">
        <v>1</v>
      </c>
      <c r="E76" s="6">
        <v>3</v>
      </c>
      <c r="F76" s="7" t="s">
        <v>8</v>
      </c>
      <c r="G76" s="8">
        <v>134200.91</v>
      </c>
      <c r="H76" s="2">
        <v>1</v>
      </c>
    </row>
    <row r="77" spans="1:13" x14ac:dyDescent="0.25">
      <c r="A77" s="6">
        <v>6</v>
      </c>
      <c r="B77" s="9" t="s">
        <v>11</v>
      </c>
      <c r="C77" s="10">
        <v>52139.78</v>
      </c>
      <c r="D77" s="2">
        <v>2</v>
      </c>
      <c r="E77" s="6">
        <v>6</v>
      </c>
      <c r="F77" s="9" t="s">
        <v>11</v>
      </c>
      <c r="G77" s="10">
        <v>67035.22</v>
      </c>
      <c r="H77" s="2">
        <v>2</v>
      </c>
    </row>
    <row r="78" spans="1:13" x14ac:dyDescent="0.25">
      <c r="A78" s="6">
        <v>7</v>
      </c>
      <c r="B78" s="7" t="s">
        <v>13</v>
      </c>
      <c r="C78" s="8">
        <v>33138.82</v>
      </c>
      <c r="D78" s="2">
        <v>3</v>
      </c>
      <c r="E78" s="6">
        <v>8</v>
      </c>
      <c r="F78" s="7" t="s">
        <v>13</v>
      </c>
      <c r="G78" s="8">
        <v>39097.449999999997</v>
      </c>
      <c r="H78" s="2">
        <v>3</v>
      </c>
    </row>
    <row r="79" spans="1:13" x14ac:dyDescent="0.25">
      <c r="A79" s="6">
        <v>8</v>
      </c>
      <c r="B79" s="7" t="s">
        <v>14</v>
      </c>
      <c r="C79" s="8">
        <v>25439.29</v>
      </c>
      <c r="D79" s="2">
        <v>4</v>
      </c>
      <c r="E79" s="6">
        <v>9</v>
      </c>
      <c r="F79" s="7" t="s">
        <v>14</v>
      </c>
      <c r="G79" s="8">
        <v>27872.93</v>
      </c>
      <c r="H79" s="2">
        <v>4</v>
      </c>
    </row>
    <row r="80" spans="1:13" x14ac:dyDescent="0.25">
      <c r="A80" s="6">
        <v>9</v>
      </c>
      <c r="B80" s="7" t="s">
        <v>15</v>
      </c>
      <c r="C80" s="8">
        <v>20120.66</v>
      </c>
      <c r="D80" s="2">
        <v>5</v>
      </c>
      <c r="E80" s="6">
        <v>10</v>
      </c>
      <c r="F80" s="7" t="s">
        <v>15</v>
      </c>
      <c r="G80" s="8">
        <v>22922.720000000001</v>
      </c>
      <c r="H80" s="2">
        <v>5</v>
      </c>
    </row>
    <row r="82" spans="1:15" x14ac:dyDescent="0.25">
      <c r="N82" s="11"/>
      <c r="O82" s="13"/>
    </row>
    <row r="84" spans="1:15" ht="18" x14ac:dyDescent="0.25">
      <c r="A84" s="56" t="s">
        <v>16</v>
      </c>
      <c r="B84" s="56"/>
      <c r="C84" s="56"/>
      <c r="E84" s="56" t="s">
        <v>16</v>
      </c>
      <c r="F84" s="56"/>
      <c r="G84" s="56"/>
    </row>
    <row r="85" spans="1:15" x14ac:dyDescent="0.25">
      <c r="A85" s="53" t="s">
        <v>38</v>
      </c>
      <c r="B85" s="53"/>
      <c r="C85" s="53"/>
      <c r="E85" s="53" t="s">
        <v>35</v>
      </c>
      <c r="F85" s="53"/>
      <c r="G85" s="53"/>
    </row>
    <row r="86" spans="1:15" x14ac:dyDescent="0.25">
      <c r="A86" s="31" t="s">
        <v>5</v>
      </c>
      <c r="B86" s="31"/>
      <c r="C86" s="31"/>
      <c r="E86" s="31" t="s">
        <v>5</v>
      </c>
      <c r="F86" s="31"/>
      <c r="G86" s="31"/>
    </row>
    <row r="87" spans="1:15" x14ac:dyDescent="0.25">
      <c r="A87" s="12">
        <v>3</v>
      </c>
      <c r="B87" s="7" t="s">
        <v>8</v>
      </c>
      <c r="C87" s="13">
        <v>161185.26999999999</v>
      </c>
      <c r="D87" s="2">
        <v>1</v>
      </c>
      <c r="E87" s="12">
        <v>4</v>
      </c>
      <c r="F87" s="7" t="s">
        <v>8</v>
      </c>
      <c r="G87" s="13">
        <v>164973.21</v>
      </c>
      <c r="H87" s="2">
        <v>1</v>
      </c>
    </row>
    <row r="88" spans="1:15" x14ac:dyDescent="0.25">
      <c r="A88" s="12">
        <v>5</v>
      </c>
      <c r="B88" s="9" t="s">
        <v>11</v>
      </c>
      <c r="C88" s="14">
        <v>60564.5</v>
      </c>
      <c r="D88" s="2">
        <v>2</v>
      </c>
      <c r="E88" s="12">
        <v>6</v>
      </c>
      <c r="F88" s="9" t="s">
        <v>11</v>
      </c>
      <c r="G88" s="14">
        <v>75573.179999999993</v>
      </c>
      <c r="H88" s="2">
        <v>2</v>
      </c>
    </row>
    <row r="89" spans="1:15" x14ac:dyDescent="0.25">
      <c r="A89" s="12">
        <v>7</v>
      </c>
      <c r="B89" t="s">
        <v>13</v>
      </c>
      <c r="C89" s="29">
        <v>53657.06</v>
      </c>
      <c r="D89" s="2">
        <v>3</v>
      </c>
      <c r="E89" s="12">
        <v>8</v>
      </c>
      <c r="F89" t="s">
        <v>13</v>
      </c>
      <c r="G89" s="29">
        <v>60825.53</v>
      </c>
      <c r="H89" s="2">
        <v>3</v>
      </c>
    </row>
    <row r="90" spans="1:15" x14ac:dyDescent="0.25">
      <c r="A90" s="12">
        <v>8</v>
      </c>
      <c r="B90" s="7" t="s">
        <v>14</v>
      </c>
      <c r="C90" s="13">
        <v>39142.28</v>
      </c>
      <c r="D90" s="2">
        <v>4</v>
      </c>
      <c r="E90" s="12">
        <v>9</v>
      </c>
      <c r="F90" s="7" t="s">
        <v>14</v>
      </c>
      <c r="G90" s="13">
        <v>46913.16</v>
      </c>
      <c r="H90" s="2">
        <v>4</v>
      </c>
    </row>
    <row r="91" spans="1:15" x14ac:dyDescent="0.25">
      <c r="A91" s="12">
        <v>9</v>
      </c>
      <c r="B91" s="7" t="s">
        <v>15</v>
      </c>
      <c r="C91" s="13">
        <v>29536.880000000001</v>
      </c>
      <c r="D91" s="2">
        <v>5</v>
      </c>
      <c r="E91" s="12">
        <v>10</v>
      </c>
      <c r="F91" s="7" t="s">
        <v>15</v>
      </c>
      <c r="G91" s="13">
        <v>32864.5</v>
      </c>
      <c r="H91" s="2">
        <v>5</v>
      </c>
    </row>
    <row r="93" spans="1:15" ht="18" x14ac:dyDescent="0.25">
      <c r="A93" s="56" t="s">
        <v>18</v>
      </c>
      <c r="B93" s="56"/>
      <c r="C93" s="56"/>
      <c r="E93" s="56" t="s">
        <v>18</v>
      </c>
      <c r="F93" s="56"/>
      <c r="G93" s="56"/>
    </row>
    <row r="94" spans="1:15" x14ac:dyDescent="0.25">
      <c r="A94" s="53" t="s">
        <v>3</v>
      </c>
      <c r="B94" s="53"/>
      <c r="C94" s="53"/>
      <c r="E94" s="53" t="s">
        <v>3</v>
      </c>
      <c r="F94" s="53"/>
      <c r="G94" s="53"/>
    </row>
    <row r="95" spans="1:15" x14ac:dyDescent="0.25">
      <c r="A95" s="53" t="s">
        <v>38</v>
      </c>
      <c r="B95" s="53"/>
      <c r="C95" s="53"/>
      <c r="E95" s="53" t="s">
        <v>35</v>
      </c>
      <c r="F95" s="53"/>
      <c r="G95" s="53"/>
    </row>
    <row r="96" spans="1:15" x14ac:dyDescent="0.25">
      <c r="A96" s="53" t="s">
        <v>5</v>
      </c>
      <c r="B96" s="53"/>
      <c r="C96" s="53"/>
      <c r="E96" s="53" t="s">
        <v>5</v>
      </c>
      <c r="F96" s="53"/>
      <c r="G96" s="53"/>
    </row>
    <row r="97" spans="1:13" x14ac:dyDescent="0.25">
      <c r="A97" s="12">
        <v>3</v>
      </c>
      <c r="B97" s="7" t="s">
        <v>8</v>
      </c>
      <c r="C97" s="13">
        <v>121748.11</v>
      </c>
      <c r="D97" s="2">
        <v>1</v>
      </c>
      <c r="E97" s="12">
        <v>4</v>
      </c>
      <c r="F97" s="7" t="s">
        <v>8</v>
      </c>
      <c r="G97" s="13">
        <v>124407.09</v>
      </c>
      <c r="H97" s="2">
        <v>1</v>
      </c>
    </row>
    <row r="98" spans="1:13" x14ac:dyDescent="0.25">
      <c r="A98" s="12">
        <v>5</v>
      </c>
      <c r="B98" s="9" t="s">
        <v>11</v>
      </c>
      <c r="C98" s="14">
        <v>46342.23</v>
      </c>
      <c r="D98" s="2">
        <v>2</v>
      </c>
      <c r="E98" s="12">
        <v>6</v>
      </c>
      <c r="F98" s="9" t="s">
        <v>11</v>
      </c>
      <c r="G98" s="14">
        <v>61160.59</v>
      </c>
      <c r="H98" s="2">
        <v>2</v>
      </c>
    </row>
    <row r="99" spans="1:13" x14ac:dyDescent="0.25">
      <c r="A99" s="12">
        <v>7</v>
      </c>
      <c r="B99" s="7" t="s">
        <v>13</v>
      </c>
      <c r="C99" s="13">
        <v>36500.39</v>
      </c>
      <c r="D99" s="2">
        <v>3</v>
      </c>
      <c r="E99" s="12">
        <v>8</v>
      </c>
      <c r="F99" s="7" t="s">
        <v>13</v>
      </c>
      <c r="G99" s="13">
        <v>42631.69</v>
      </c>
      <c r="H99" s="2">
        <v>3</v>
      </c>
    </row>
    <row r="100" spans="1:13" x14ac:dyDescent="0.25">
      <c r="A100" s="12">
        <v>8</v>
      </c>
      <c r="B100" s="7" t="s">
        <v>14</v>
      </c>
      <c r="C100" s="13">
        <v>29263.21</v>
      </c>
      <c r="D100" s="2">
        <v>4</v>
      </c>
      <c r="E100" s="12">
        <v>9</v>
      </c>
      <c r="F100" s="7" t="s">
        <v>14</v>
      </c>
      <c r="G100" s="13">
        <v>34363.25</v>
      </c>
      <c r="H100" s="2">
        <v>4</v>
      </c>
    </row>
    <row r="101" spans="1:13" x14ac:dyDescent="0.25">
      <c r="A101" s="12">
        <v>9</v>
      </c>
      <c r="B101" s="7" t="s">
        <v>15</v>
      </c>
      <c r="C101" s="13">
        <v>19954.59</v>
      </c>
      <c r="D101" s="2">
        <v>5</v>
      </c>
      <c r="E101" s="12">
        <v>10</v>
      </c>
      <c r="F101" s="7" t="s">
        <v>15</v>
      </c>
      <c r="G101" s="13">
        <v>21151.35</v>
      </c>
      <c r="H101" s="2">
        <v>5</v>
      </c>
    </row>
    <row r="103" spans="1:13" ht="18" x14ac:dyDescent="0.25">
      <c r="A103" s="32" t="s">
        <v>20</v>
      </c>
      <c r="B103" s="32"/>
      <c r="C103" s="32"/>
      <c r="E103" s="32" t="s">
        <v>20</v>
      </c>
      <c r="F103" s="32"/>
      <c r="G103" s="32"/>
    </row>
    <row r="104" spans="1:13" x14ac:dyDescent="0.25">
      <c r="A104" s="4"/>
      <c r="B104" s="31" t="s">
        <v>3</v>
      </c>
      <c r="C104" s="31"/>
      <c r="E104" s="4"/>
      <c r="F104" s="31" t="s">
        <v>3</v>
      </c>
      <c r="G104" s="31"/>
    </row>
    <row r="105" spans="1:13" x14ac:dyDescent="0.25">
      <c r="A105" s="4"/>
      <c r="B105" s="30" t="s">
        <v>38</v>
      </c>
      <c r="C105" s="30"/>
      <c r="D105" s="47"/>
      <c r="E105" s="4"/>
      <c r="F105" s="30" t="s">
        <v>35</v>
      </c>
      <c r="G105" s="30"/>
    </row>
    <row r="106" spans="1:13" x14ac:dyDescent="0.25">
      <c r="A106" s="4"/>
      <c r="B106" s="31" t="s">
        <v>5</v>
      </c>
      <c r="C106" s="31"/>
      <c r="E106" s="4"/>
      <c r="F106" s="31" t="s">
        <v>5</v>
      </c>
      <c r="G106" s="31"/>
    </row>
    <row r="107" spans="1:13" x14ac:dyDescent="0.25">
      <c r="A107" s="18" t="s">
        <v>22</v>
      </c>
      <c r="B107" s="18" t="s">
        <v>23</v>
      </c>
      <c r="C107" s="48" t="s">
        <v>24</v>
      </c>
      <c r="E107" s="18" t="s">
        <v>22</v>
      </c>
      <c r="F107" s="18" t="s">
        <v>23</v>
      </c>
      <c r="G107" s="48" t="s">
        <v>24</v>
      </c>
      <c r="I107" s="49" t="s">
        <v>41</v>
      </c>
      <c r="J107" s="38">
        <v>3422.32</v>
      </c>
    </row>
    <row r="108" spans="1:13" x14ac:dyDescent="0.25">
      <c r="A108">
        <v>3</v>
      </c>
      <c r="B108" s="7" t="s">
        <v>8</v>
      </c>
      <c r="C108" s="13">
        <v>20084.830000000002</v>
      </c>
      <c r="D108" s="2">
        <v>1</v>
      </c>
      <c r="E108">
        <v>4</v>
      </c>
      <c r="F108" s="7" t="s">
        <v>8</v>
      </c>
      <c r="G108" s="13">
        <v>21088.560000000001</v>
      </c>
      <c r="H108" s="2">
        <v>1</v>
      </c>
      <c r="I108" s="7" t="s">
        <v>8</v>
      </c>
      <c r="J108" s="13">
        <v>20084.830000000002</v>
      </c>
      <c r="L108" s="7" t="s">
        <v>8</v>
      </c>
      <c r="M108" s="13">
        <v>21088.560000000001</v>
      </c>
    </row>
    <row r="109" spans="1:13" x14ac:dyDescent="0.25">
      <c r="A109">
        <v>5</v>
      </c>
      <c r="B109" s="7" t="s">
        <v>13</v>
      </c>
      <c r="C109" s="13">
        <v>18034.79</v>
      </c>
      <c r="D109" s="2">
        <v>2</v>
      </c>
      <c r="E109">
        <v>6</v>
      </c>
      <c r="F109" s="7" t="s">
        <v>13</v>
      </c>
      <c r="G109" s="13">
        <v>18736.310000000001</v>
      </c>
      <c r="H109" s="2">
        <v>2</v>
      </c>
      <c r="I109" s="7" t="s">
        <v>13</v>
      </c>
      <c r="J109" s="13">
        <v>18034.79</v>
      </c>
      <c r="L109" s="7" t="s">
        <v>13</v>
      </c>
      <c r="M109" s="13">
        <v>18736.310000000001</v>
      </c>
    </row>
    <row r="110" spans="1:13" x14ac:dyDescent="0.25">
      <c r="A110">
        <v>7</v>
      </c>
      <c r="B110" s="7" t="s">
        <v>15</v>
      </c>
      <c r="C110" s="13">
        <v>7760.45</v>
      </c>
      <c r="D110" s="2">
        <v>3</v>
      </c>
      <c r="E110">
        <v>8</v>
      </c>
      <c r="F110" s="7" t="s">
        <v>15</v>
      </c>
      <c r="G110" s="13">
        <v>8646.9500000000007</v>
      </c>
      <c r="H110" s="2">
        <v>3</v>
      </c>
      <c r="I110" s="7" t="s">
        <v>15</v>
      </c>
      <c r="J110" s="13">
        <v>7760.45</v>
      </c>
      <c r="L110" s="7" t="s">
        <v>15</v>
      </c>
      <c r="M110" s="13">
        <v>8646.9500000000007</v>
      </c>
    </row>
    <row r="111" spans="1:13" x14ac:dyDescent="0.25">
      <c r="A111">
        <v>8</v>
      </c>
      <c r="B111" s="7" t="s">
        <v>14</v>
      </c>
      <c r="C111" s="13">
        <v>6807.42</v>
      </c>
      <c r="D111" s="2">
        <v>4</v>
      </c>
      <c r="E111">
        <v>9</v>
      </c>
      <c r="F111" s="7" t="s">
        <v>14</v>
      </c>
      <c r="G111" s="13">
        <v>8420.7900000000009</v>
      </c>
      <c r="H111" s="2">
        <v>4</v>
      </c>
      <c r="I111" s="7" t="s">
        <v>14</v>
      </c>
      <c r="J111" s="13">
        <v>6807.42</v>
      </c>
      <c r="L111" s="7" t="s">
        <v>14</v>
      </c>
      <c r="M111" s="13">
        <v>8420.7900000000009</v>
      </c>
    </row>
    <row r="112" spans="1:13" x14ac:dyDescent="0.25">
      <c r="A112">
        <v>9</v>
      </c>
      <c r="B112" s="9" t="s">
        <v>11</v>
      </c>
      <c r="C112" s="14">
        <v>5144.34</v>
      </c>
      <c r="D112" s="2">
        <v>5</v>
      </c>
      <c r="E112">
        <v>10</v>
      </c>
      <c r="F112" s="9" t="s">
        <v>11</v>
      </c>
      <c r="G112" s="14">
        <v>5696.59</v>
      </c>
      <c r="H112" s="2">
        <v>5</v>
      </c>
      <c r="I112" s="9" t="s">
        <v>11</v>
      </c>
      <c r="J112" s="14">
        <v>5144.34</v>
      </c>
      <c r="L112" s="9" t="s">
        <v>11</v>
      </c>
      <c r="M112" s="14">
        <v>5696.59</v>
      </c>
    </row>
    <row r="113" spans="1:4" x14ac:dyDescent="0.25">
      <c r="A113">
        <v>10</v>
      </c>
      <c r="B113" s="2" t="s">
        <v>41</v>
      </c>
      <c r="C113" s="13">
        <v>3422.32</v>
      </c>
      <c r="D113" s="50">
        <v>6</v>
      </c>
    </row>
  </sheetData>
  <mergeCells count="39">
    <mergeCell ref="A22:C22"/>
    <mergeCell ref="E22:G22"/>
    <mergeCell ref="A5:C5"/>
    <mergeCell ref="E5:G5"/>
    <mergeCell ref="A6:C6"/>
    <mergeCell ref="E6:G6"/>
    <mergeCell ref="A7:C7"/>
    <mergeCell ref="E7:G7"/>
    <mergeCell ref="A19:C19"/>
    <mergeCell ref="A20:C20"/>
    <mergeCell ref="E20:G20"/>
    <mergeCell ref="A21:C21"/>
    <mergeCell ref="E21:G21"/>
    <mergeCell ref="A36:C36"/>
    <mergeCell ref="E36:G36"/>
    <mergeCell ref="A37:C37"/>
    <mergeCell ref="E37:G37"/>
    <mergeCell ref="A38:C38"/>
    <mergeCell ref="E38:G38"/>
    <mergeCell ref="A39:C39"/>
    <mergeCell ref="E39:G39"/>
    <mergeCell ref="A73:C73"/>
    <mergeCell ref="E73:G73"/>
    <mergeCell ref="A74:C74"/>
    <mergeCell ref="E74:G74"/>
    <mergeCell ref="A75:C75"/>
    <mergeCell ref="E75:G75"/>
    <mergeCell ref="A84:C84"/>
    <mergeCell ref="E84:G84"/>
    <mergeCell ref="A85:C85"/>
    <mergeCell ref="E85:G85"/>
    <mergeCell ref="A96:C96"/>
    <mergeCell ref="E96:G96"/>
    <mergeCell ref="A93:C93"/>
    <mergeCell ref="E93:G93"/>
    <mergeCell ref="A94:C94"/>
    <mergeCell ref="E94:G94"/>
    <mergeCell ref="A95:C95"/>
    <mergeCell ref="E95:G9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78"/>
  <sheetViews>
    <sheetView zoomScale="70" zoomScaleNormal="70" workbookViewId="0">
      <selection activeCell="B20" sqref="B20:D20"/>
    </sheetView>
  </sheetViews>
  <sheetFormatPr defaultRowHeight="15" x14ac:dyDescent="0.25"/>
  <cols>
    <col min="2" max="2" width="3" bestFit="1" customWidth="1"/>
    <col min="3" max="3" width="43.42578125" customWidth="1"/>
    <col min="4" max="4" width="10.140625" customWidth="1"/>
    <col min="5" max="5" width="12.140625" style="2" customWidth="1"/>
    <col min="6" max="6" width="11" bestFit="1" customWidth="1"/>
    <col min="7" max="7" width="22.140625" bestFit="1" customWidth="1"/>
    <col min="8" max="8" width="11.5703125" bestFit="1" customWidth="1"/>
    <col min="9" max="9" width="10.5703125" bestFit="1" customWidth="1"/>
    <col min="10" max="10" width="12" bestFit="1" customWidth="1"/>
    <col min="12" max="12" width="9.140625" customWidth="1"/>
    <col min="13" max="13" width="73.28515625" bestFit="1" customWidth="1"/>
  </cols>
  <sheetData>
    <row r="1" spans="1:13" x14ac:dyDescent="0.25">
      <c r="A1" s="1" t="s">
        <v>0</v>
      </c>
    </row>
    <row r="3" spans="1:13" ht="18" x14ac:dyDescent="0.25">
      <c r="A3" s="56" t="s">
        <v>1</v>
      </c>
      <c r="B3" s="56"/>
      <c r="C3" s="56"/>
      <c r="D3" s="3"/>
      <c r="M3" s="1" t="s">
        <v>2</v>
      </c>
    </row>
    <row r="4" spans="1:13" x14ac:dyDescent="0.25">
      <c r="A4" s="4"/>
      <c r="B4" s="53" t="s">
        <v>3</v>
      </c>
      <c r="C4" s="53"/>
      <c r="D4" s="53"/>
      <c r="M4" s="1"/>
    </row>
    <row r="5" spans="1:13" x14ac:dyDescent="0.25">
      <c r="A5" s="4"/>
      <c r="B5" s="53" t="s">
        <v>4</v>
      </c>
      <c r="C5" s="53"/>
      <c r="D5" s="53"/>
    </row>
    <row r="6" spans="1:13" x14ac:dyDescent="0.25">
      <c r="A6" s="4"/>
      <c r="B6" s="53" t="s">
        <v>5</v>
      </c>
      <c r="C6" s="53"/>
      <c r="D6" s="53"/>
    </row>
    <row r="7" spans="1:13" x14ac:dyDescent="0.25">
      <c r="A7" s="5"/>
      <c r="B7" s="6">
        <v>1</v>
      </c>
      <c r="C7" s="7" t="s">
        <v>6</v>
      </c>
      <c r="D7" s="8">
        <v>186286.49</v>
      </c>
    </row>
    <row r="8" spans="1:13" x14ac:dyDescent="0.25">
      <c r="A8" s="5"/>
      <c r="B8" s="6">
        <v>2</v>
      </c>
      <c r="C8" s="7" t="s">
        <v>7</v>
      </c>
      <c r="D8" s="8">
        <v>163651.54999999999</v>
      </c>
    </row>
    <row r="9" spans="1:13" x14ac:dyDescent="0.25">
      <c r="A9" s="5"/>
      <c r="B9" s="6">
        <v>3</v>
      </c>
      <c r="C9" s="7" t="s">
        <v>8</v>
      </c>
      <c r="D9" s="8">
        <v>136356.04</v>
      </c>
    </row>
    <row r="10" spans="1:13" x14ac:dyDescent="0.25">
      <c r="A10" s="5"/>
      <c r="B10" s="6">
        <v>4</v>
      </c>
      <c r="C10" s="7" t="s">
        <v>9</v>
      </c>
      <c r="D10" s="8">
        <v>106674.06</v>
      </c>
    </row>
    <row r="11" spans="1:13" x14ac:dyDescent="0.25">
      <c r="A11" s="5"/>
      <c r="B11" s="6">
        <v>5</v>
      </c>
      <c r="C11" s="7" t="s">
        <v>10</v>
      </c>
      <c r="D11" s="8">
        <v>105228.99</v>
      </c>
    </row>
    <row r="12" spans="1:13" x14ac:dyDescent="0.25">
      <c r="A12" s="5"/>
      <c r="B12" s="6">
        <v>6</v>
      </c>
      <c r="C12" s="9" t="s">
        <v>11</v>
      </c>
      <c r="D12" s="10">
        <v>59083.54</v>
      </c>
    </row>
    <row r="13" spans="1:13" x14ac:dyDescent="0.25">
      <c r="A13" s="5"/>
      <c r="B13" s="6">
        <v>7</v>
      </c>
      <c r="C13" s="7" t="s">
        <v>12</v>
      </c>
      <c r="D13" s="8">
        <v>44629.22</v>
      </c>
    </row>
    <row r="14" spans="1:13" x14ac:dyDescent="0.25">
      <c r="A14" s="5"/>
      <c r="B14" s="6">
        <v>8</v>
      </c>
      <c r="C14" s="7" t="s">
        <v>13</v>
      </c>
      <c r="D14" s="8">
        <v>37552.269999999997</v>
      </c>
    </row>
    <row r="15" spans="1:13" x14ac:dyDescent="0.25">
      <c r="A15" s="5"/>
      <c r="B15" s="6">
        <v>9</v>
      </c>
      <c r="C15" s="7" t="s">
        <v>14</v>
      </c>
      <c r="D15" s="8">
        <v>26163.11</v>
      </c>
    </row>
    <row r="16" spans="1:13" x14ac:dyDescent="0.25">
      <c r="A16" s="5"/>
      <c r="B16" s="6">
        <v>10</v>
      </c>
      <c r="C16" s="7" t="s">
        <v>15</v>
      </c>
      <c r="D16" s="8">
        <v>20926.21</v>
      </c>
    </row>
    <row r="17" spans="1:13" x14ac:dyDescent="0.25">
      <c r="A17" s="5"/>
    </row>
    <row r="18" spans="1:13" x14ac:dyDescent="0.25">
      <c r="C18" s="11"/>
      <c r="D18" s="8"/>
    </row>
    <row r="19" spans="1:13" ht="18" x14ac:dyDescent="0.25">
      <c r="A19" s="4"/>
      <c r="B19" s="56" t="s">
        <v>16</v>
      </c>
      <c r="C19" s="56"/>
      <c r="D19" s="56"/>
      <c r="M19" s="1" t="s">
        <v>17</v>
      </c>
    </row>
    <row r="20" spans="1:13" x14ac:dyDescent="0.25">
      <c r="A20" s="4"/>
      <c r="B20" s="53" t="s">
        <v>4</v>
      </c>
      <c r="C20" s="53"/>
      <c r="D20" s="53"/>
    </row>
    <row r="21" spans="1:13" x14ac:dyDescent="0.25">
      <c r="A21" s="4"/>
      <c r="B21" s="53" t="s">
        <v>5</v>
      </c>
      <c r="C21" s="53"/>
      <c r="D21" s="53"/>
    </row>
    <row r="22" spans="1:13" x14ac:dyDescent="0.25">
      <c r="B22" s="12">
        <v>1</v>
      </c>
      <c r="C22" s="7" t="s">
        <v>7</v>
      </c>
      <c r="D22" s="13">
        <v>220919.27</v>
      </c>
    </row>
    <row r="23" spans="1:13" x14ac:dyDescent="0.25">
      <c r="A23" s="5"/>
      <c r="B23" s="12">
        <v>2</v>
      </c>
      <c r="C23" s="7" t="s">
        <v>6</v>
      </c>
      <c r="D23" s="13">
        <v>212063.44</v>
      </c>
    </row>
    <row r="24" spans="1:13" x14ac:dyDescent="0.25">
      <c r="A24" s="5"/>
      <c r="B24" s="12">
        <v>3</v>
      </c>
      <c r="C24" s="7" t="s">
        <v>10</v>
      </c>
      <c r="D24" s="13">
        <v>167867.51</v>
      </c>
    </row>
    <row r="25" spans="1:13" x14ac:dyDescent="0.25">
      <c r="A25" s="5"/>
      <c r="B25" s="12">
        <v>4</v>
      </c>
      <c r="C25" s="7" t="s">
        <v>8</v>
      </c>
      <c r="D25" s="13">
        <v>164937.5</v>
      </c>
    </row>
    <row r="26" spans="1:13" x14ac:dyDescent="0.25">
      <c r="A26" s="5"/>
      <c r="B26" s="12">
        <v>5</v>
      </c>
      <c r="C26" s="7" t="s">
        <v>9</v>
      </c>
      <c r="D26" s="13">
        <v>144360.10999999999</v>
      </c>
    </row>
    <row r="27" spans="1:13" x14ac:dyDescent="0.25">
      <c r="A27" s="5"/>
      <c r="B27" s="12">
        <v>6</v>
      </c>
      <c r="C27" s="9" t="s">
        <v>11</v>
      </c>
      <c r="D27" s="14">
        <v>67468.97</v>
      </c>
    </row>
    <row r="28" spans="1:13" x14ac:dyDescent="0.25">
      <c r="A28" s="5"/>
      <c r="B28" s="12">
        <v>7</v>
      </c>
      <c r="C28" s="7" t="s">
        <v>12</v>
      </c>
      <c r="D28" s="13">
        <v>59123.29</v>
      </c>
    </row>
    <row r="29" spans="1:13" x14ac:dyDescent="0.25">
      <c r="A29" s="5"/>
      <c r="B29" s="12">
        <v>8</v>
      </c>
      <c r="C29" s="7" t="s">
        <v>13</v>
      </c>
      <c r="D29" s="13">
        <v>57466.75</v>
      </c>
    </row>
    <row r="30" spans="1:13" x14ac:dyDescent="0.25">
      <c r="A30" s="5"/>
      <c r="B30" s="12">
        <v>9</v>
      </c>
      <c r="C30" s="7" t="s">
        <v>14</v>
      </c>
      <c r="D30" s="13">
        <v>42366.84</v>
      </c>
    </row>
    <row r="31" spans="1:13" x14ac:dyDescent="0.25">
      <c r="A31" s="5"/>
      <c r="B31" s="12">
        <v>10</v>
      </c>
      <c r="C31" s="7" t="s">
        <v>15</v>
      </c>
      <c r="D31" s="13">
        <v>30453.37</v>
      </c>
    </row>
    <row r="32" spans="1:13" x14ac:dyDescent="0.25">
      <c r="A32" s="5"/>
    </row>
    <row r="34" spans="1:13" x14ac:dyDescent="0.25">
      <c r="C34" s="11"/>
    </row>
    <row r="35" spans="1:13" ht="18" x14ac:dyDescent="0.25">
      <c r="A35" s="56" t="s">
        <v>18</v>
      </c>
      <c r="B35" s="56"/>
      <c r="C35" s="56"/>
      <c r="D35" s="3"/>
      <c r="M35" s="1" t="s">
        <v>19</v>
      </c>
    </row>
    <row r="36" spans="1:13" x14ac:dyDescent="0.25">
      <c r="A36" s="4"/>
      <c r="B36" s="53" t="s">
        <v>3</v>
      </c>
      <c r="C36" s="53"/>
      <c r="D36" s="53"/>
      <c r="M36" s="1"/>
    </row>
    <row r="37" spans="1:13" x14ac:dyDescent="0.25">
      <c r="A37" s="4"/>
      <c r="B37" s="53" t="s">
        <v>4</v>
      </c>
      <c r="C37" s="53"/>
      <c r="D37" s="53"/>
    </row>
    <row r="38" spans="1:13" x14ac:dyDescent="0.25">
      <c r="A38" s="4"/>
      <c r="B38" s="53" t="s">
        <v>5</v>
      </c>
      <c r="C38" s="53"/>
      <c r="D38" s="53"/>
    </row>
    <row r="39" spans="1:13" x14ac:dyDescent="0.25">
      <c r="A39" s="5"/>
      <c r="B39" s="12">
        <v>1</v>
      </c>
      <c r="C39" s="11" t="s">
        <v>7</v>
      </c>
      <c r="D39" s="13">
        <v>154492.91</v>
      </c>
    </row>
    <row r="40" spans="1:13" x14ac:dyDescent="0.25">
      <c r="A40" s="5"/>
      <c r="B40" s="12">
        <v>2</v>
      </c>
      <c r="C40" s="7" t="s">
        <v>6</v>
      </c>
      <c r="D40" s="13">
        <v>152502.18</v>
      </c>
    </row>
    <row r="41" spans="1:13" x14ac:dyDescent="0.25">
      <c r="A41" s="5"/>
      <c r="B41" s="12">
        <v>3</v>
      </c>
      <c r="C41" s="7" t="s">
        <v>10</v>
      </c>
      <c r="D41" s="13">
        <v>123115.35</v>
      </c>
    </row>
    <row r="42" spans="1:13" x14ac:dyDescent="0.25">
      <c r="A42" s="5"/>
      <c r="B42" s="12">
        <v>4</v>
      </c>
      <c r="C42" s="7" t="s">
        <v>8</v>
      </c>
      <c r="D42" s="13">
        <v>119996.33</v>
      </c>
    </row>
    <row r="43" spans="1:13" x14ac:dyDescent="0.25">
      <c r="A43" s="5"/>
      <c r="B43" s="12">
        <v>5</v>
      </c>
      <c r="C43" s="7" t="s">
        <v>9</v>
      </c>
      <c r="D43" s="13">
        <v>116002.3</v>
      </c>
    </row>
    <row r="44" spans="1:13" x14ac:dyDescent="0.25">
      <c r="A44" s="5"/>
      <c r="B44" s="12">
        <v>6</v>
      </c>
      <c r="C44" s="9" t="s">
        <v>11</v>
      </c>
      <c r="D44" s="14">
        <v>52933.17</v>
      </c>
    </row>
    <row r="45" spans="1:13" x14ac:dyDescent="0.25">
      <c r="A45" s="5"/>
      <c r="B45" s="12">
        <v>7</v>
      </c>
      <c r="C45" s="7" t="s">
        <v>12</v>
      </c>
      <c r="D45" s="13">
        <v>41283.65</v>
      </c>
    </row>
    <row r="46" spans="1:13" x14ac:dyDescent="0.25">
      <c r="A46" s="5"/>
      <c r="B46" s="12">
        <v>8</v>
      </c>
      <c r="C46" s="7" t="s">
        <v>13</v>
      </c>
      <c r="D46" s="13">
        <v>39041.57</v>
      </c>
    </row>
    <row r="47" spans="1:13" x14ac:dyDescent="0.25">
      <c r="A47" s="5"/>
      <c r="B47" s="12">
        <v>9</v>
      </c>
      <c r="C47" s="7" t="s">
        <v>14</v>
      </c>
      <c r="D47" s="13">
        <v>32159.4</v>
      </c>
    </row>
    <row r="48" spans="1:13" x14ac:dyDescent="0.25">
      <c r="A48" s="5"/>
      <c r="B48" s="12">
        <v>10</v>
      </c>
      <c r="C48" s="7" t="s">
        <v>15</v>
      </c>
      <c r="D48" s="13">
        <v>20193.04</v>
      </c>
    </row>
    <row r="49" spans="1:13" x14ac:dyDescent="0.25">
      <c r="A49" s="5"/>
    </row>
    <row r="52" spans="1:13" ht="18" x14ac:dyDescent="0.25">
      <c r="A52" s="56" t="s">
        <v>20</v>
      </c>
      <c r="B52" s="56"/>
      <c r="C52" s="56"/>
      <c r="D52" s="56"/>
      <c r="E52" s="15"/>
      <c r="F52" s="2"/>
      <c r="M52" s="1" t="s">
        <v>21</v>
      </c>
    </row>
    <row r="53" spans="1:13" x14ac:dyDescent="0.25">
      <c r="A53" s="4"/>
      <c r="B53" s="53" t="s">
        <v>3</v>
      </c>
      <c r="C53" s="53"/>
      <c r="D53" s="53"/>
      <c r="E53" s="53"/>
      <c r="F53" s="16"/>
      <c r="G53" s="17"/>
    </row>
    <row r="54" spans="1:13" x14ac:dyDescent="0.25">
      <c r="A54" s="4"/>
      <c r="B54" s="53" t="s">
        <v>4</v>
      </c>
      <c r="C54" s="53"/>
      <c r="D54" s="53"/>
      <c r="E54" s="53"/>
      <c r="F54" s="16"/>
      <c r="G54" s="17"/>
    </row>
    <row r="55" spans="1:13" x14ac:dyDescent="0.25">
      <c r="A55" s="4"/>
      <c r="B55" s="53" t="s">
        <v>5</v>
      </c>
      <c r="C55" s="53"/>
      <c r="D55" s="53"/>
      <c r="E55" s="53"/>
      <c r="F55" s="2"/>
    </row>
    <row r="56" spans="1:13" x14ac:dyDescent="0.25">
      <c r="B56" s="18" t="s">
        <v>22</v>
      </c>
      <c r="C56" s="18" t="s">
        <v>23</v>
      </c>
      <c r="D56" s="54" t="s">
        <v>24</v>
      </c>
      <c r="E56" s="55"/>
      <c r="F56" s="19"/>
    </row>
    <row r="57" spans="1:13" s="2" customFormat="1" x14ac:dyDescent="0.25">
      <c r="A57"/>
      <c r="B57">
        <v>10</v>
      </c>
      <c r="C57" s="9" t="s">
        <v>11</v>
      </c>
      <c r="D57" s="14">
        <v>5526.06</v>
      </c>
      <c r="F57"/>
      <c r="G57"/>
      <c r="H57"/>
      <c r="I57"/>
      <c r="J57"/>
      <c r="K57"/>
      <c r="L57"/>
      <c r="M57"/>
    </row>
    <row r="58" spans="1:13" s="2" customFormat="1" x14ac:dyDescent="0.25">
      <c r="A58"/>
      <c r="B58">
        <v>9</v>
      </c>
      <c r="C58" s="7" t="s">
        <v>14</v>
      </c>
      <c r="D58" s="20">
        <v>7563.36</v>
      </c>
      <c r="F58"/>
      <c r="G58"/>
      <c r="H58"/>
      <c r="I58"/>
      <c r="J58"/>
      <c r="K58"/>
      <c r="L58"/>
      <c r="M58"/>
    </row>
    <row r="59" spans="1:13" s="2" customFormat="1" x14ac:dyDescent="0.25">
      <c r="A59"/>
      <c r="B59">
        <v>8</v>
      </c>
      <c r="C59" s="11" t="s">
        <v>15</v>
      </c>
      <c r="D59" s="13">
        <v>8173.57</v>
      </c>
      <c r="F59"/>
      <c r="G59"/>
      <c r="H59"/>
      <c r="I59"/>
      <c r="J59"/>
      <c r="K59"/>
      <c r="L59"/>
      <c r="M59"/>
    </row>
    <row r="60" spans="1:13" s="2" customFormat="1" x14ac:dyDescent="0.25">
      <c r="A60"/>
      <c r="B60">
        <v>7</v>
      </c>
      <c r="C60" s="7" t="s">
        <v>12</v>
      </c>
      <c r="D60" s="13">
        <v>10342.33</v>
      </c>
      <c r="F60"/>
      <c r="G60"/>
      <c r="H60"/>
      <c r="I60"/>
      <c r="J60"/>
      <c r="K60"/>
      <c r="L60"/>
      <c r="M60"/>
    </row>
    <row r="61" spans="1:13" s="2" customFormat="1" x14ac:dyDescent="0.25">
      <c r="A61"/>
      <c r="B61">
        <v>6</v>
      </c>
      <c r="C61" s="7" t="s">
        <v>13</v>
      </c>
      <c r="D61" s="13">
        <v>16959.18</v>
      </c>
      <c r="F61"/>
      <c r="G61"/>
      <c r="H61"/>
      <c r="I61"/>
      <c r="J61"/>
      <c r="K61"/>
      <c r="L61"/>
      <c r="M61"/>
    </row>
    <row r="62" spans="1:13" s="2" customFormat="1" x14ac:dyDescent="0.25">
      <c r="A62"/>
      <c r="B62">
        <v>5</v>
      </c>
      <c r="C62" s="7" t="s">
        <v>9</v>
      </c>
      <c r="D62" s="13">
        <v>17901.400000000001</v>
      </c>
      <c r="F62"/>
      <c r="G62"/>
      <c r="H62"/>
      <c r="I62"/>
      <c r="J62"/>
      <c r="K62"/>
      <c r="L62"/>
      <c r="M62"/>
    </row>
    <row r="63" spans="1:13" s="2" customFormat="1" x14ac:dyDescent="0.25">
      <c r="A63"/>
      <c r="B63">
        <v>4</v>
      </c>
      <c r="C63" s="7" t="s">
        <v>8</v>
      </c>
      <c r="D63" s="13">
        <v>20794.189999999999</v>
      </c>
      <c r="F63"/>
      <c r="G63"/>
      <c r="H63"/>
      <c r="I63"/>
      <c r="J63"/>
      <c r="K63"/>
      <c r="L63"/>
      <c r="M63"/>
    </row>
    <row r="64" spans="1:13" s="2" customFormat="1" x14ac:dyDescent="0.25">
      <c r="A64"/>
      <c r="B64">
        <v>3</v>
      </c>
      <c r="C64" s="7" t="s">
        <v>6</v>
      </c>
      <c r="D64" s="13">
        <v>21095.84</v>
      </c>
      <c r="F64"/>
      <c r="G64"/>
      <c r="H64"/>
      <c r="I64"/>
      <c r="J64"/>
      <c r="K64"/>
      <c r="L64"/>
      <c r="M64"/>
    </row>
    <row r="65" spans="1:13" s="2" customFormat="1" x14ac:dyDescent="0.25">
      <c r="A65"/>
      <c r="B65">
        <v>2</v>
      </c>
      <c r="C65" s="7" t="s">
        <v>10</v>
      </c>
      <c r="D65" s="13">
        <v>21316.81</v>
      </c>
      <c r="F65"/>
      <c r="G65"/>
      <c r="H65"/>
      <c r="I65"/>
      <c r="J65"/>
      <c r="K65"/>
      <c r="L65"/>
      <c r="M65"/>
    </row>
    <row r="66" spans="1:13" s="2" customFormat="1" x14ac:dyDescent="0.25">
      <c r="A66"/>
      <c r="B66">
        <v>1</v>
      </c>
      <c r="C66" s="11" t="s">
        <v>7</v>
      </c>
      <c r="D66" s="13">
        <v>44729.74</v>
      </c>
      <c r="F66"/>
      <c r="G66"/>
      <c r="H66"/>
      <c r="I66"/>
      <c r="J66"/>
      <c r="K66"/>
      <c r="L66"/>
      <c r="M66"/>
    </row>
    <row r="74" spans="1:13" ht="60" x14ac:dyDescent="0.25">
      <c r="F74" s="21" t="s">
        <v>25</v>
      </c>
      <c r="G74" s="22" t="s">
        <v>26</v>
      </c>
      <c r="H74" s="22" t="s">
        <v>27</v>
      </c>
      <c r="I74" s="23" t="s">
        <v>28</v>
      </c>
      <c r="J74" s="22" t="s">
        <v>29</v>
      </c>
    </row>
    <row r="75" spans="1:13" x14ac:dyDescent="0.25">
      <c r="F75" s="24" t="s">
        <v>30</v>
      </c>
      <c r="G75" s="25">
        <v>40050.080000000002</v>
      </c>
      <c r="H75" s="25">
        <v>47484.08</v>
      </c>
      <c r="I75" s="25">
        <v>35906.69</v>
      </c>
      <c r="J75" s="25">
        <v>4413.8500000000004</v>
      </c>
    </row>
    <row r="76" spans="1:13" x14ac:dyDescent="0.25">
      <c r="F76" s="24" t="s">
        <v>31</v>
      </c>
      <c r="G76" s="25">
        <v>52139.78</v>
      </c>
      <c r="H76" s="25">
        <v>60564.5</v>
      </c>
      <c r="I76" s="25">
        <v>46342.23</v>
      </c>
      <c r="J76" s="25">
        <v>5144.34</v>
      </c>
    </row>
    <row r="77" spans="1:13" x14ac:dyDescent="0.25">
      <c r="F77" s="26" t="s">
        <v>32</v>
      </c>
      <c r="G77" s="25">
        <f>G76-G75</f>
        <v>12089.699999999997</v>
      </c>
      <c r="H77" s="25">
        <f t="shared" ref="H77:J77" si="0">H76-H75</f>
        <v>13080.419999999998</v>
      </c>
      <c r="I77" s="25">
        <f t="shared" si="0"/>
        <v>10435.540000000001</v>
      </c>
      <c r="J77" s="25">
        <f t="shared" si="0"/>
        <v>730.48999999999978</v>
      </c>
    </row>
    <row r="78" spans="1:13" x14ac:dyDescent="0.25">
      <c r="F78" s="27" t="s">
        <v>33</v>
      </c>
      <c r="G78" s="28">
        <f>(G76-G75)/G75</f>
        <v>0.30186456556391389</v>
      </c>
      <c r="H78" s="28">
        <f t="shared" ref="H78:J78" si="1">(H76-H75)/H75</f>
        <v>0.27546958896539636</v>
      </c>
      <c r="I78" s="28">
        <f t="shared" si="1"/>
        <v>0.29062940638638651</v>
      </c>
      <c r="J78" s="28">
        <f t="shared" si="1"/>
        <v>0.16549950723291451</v>
      </c>
    </row>
  </sheetData>
  <mergeCells count="16">
    <mergeCell ref="B20:D20"/>
    <mergeCell ref="A3:C3"/>
    <mergeCell ref="B4:D4"/>
    <mergeCell ref="B5:D5"/>
    <mergeCell ref="B6:D6"/>
    <mergeCell ref="B19:D19"/>
    <mergeCell ref="B53:E53"/>
    <mergeCell ref="B54:E54"/>
    <mergeCell ref="B55:E55"/>
    <mergeCell ref="D56:E56"/>
    <mergeCell ref="B21:D21"/>
    <mergeCell ref="A35:C35"/>
    <mergeCell ref="B36:D36"/>
    <mergeCell ref="B37:D37"/>
    <mergeCell ref="B38:D38"/>
    <mergeCell ref="A52:D52"/>
  </mergeCells>
  <hyperlinks>
    <hyperlink ref="A1" r:id="rId1"/>
    <hyperlink ref="M19" r:id="rId2"/>
    <hyperlink ref="M35" r:id="rId3"/>
    <hyperlink ref="M52" r:id="rId4"/>
    <hyperlink ref="M3" r:id="rId5"/>
  </hyperlinks>
  <pageMargins left="0.7" right="0.7" top="0.75" bottom="0.75" header="0.3" footer="0.3"/>
  <pageSetup paperSize="9" orientation="portrait" horizontalDpi="4294967293" r:id="rId6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54"/>
  <sheetViews>
    <sheetView topLeftCell="A25" zoomScale="85" zoomScaleNormal="85" workbookViewId="0">
      <selection activeCell="B38" sqref="B38:D38"/>
    </sheetView>
  </sheetViews>
  <sheetFormatPr defaultRowHeight="15" x14ac:dyDescent="0.25"/>
  <cols>
    <col min="2" max="2" width="3" bestFit="1" customWidth="1"/>
    <col min="3" max="3" width="43.42578125" customWidth="1"/>
    <col min="4" max="4" width="10.140625" customWidth="1"/>
    <col min="5" max="5" width="12.140625" style="2" customWidth="1"/>
    <col min="9" max="9" width="9.140625" customWidth="1"/>
    <col min="12" max="12" width="9.140625" customWidth="1"/>
    <col min="13" max="13" width="73.28515625" bestFit="1" customWidth="1"/>
  </cols>
  <sheetData>
    <row r="1" spans="1:13" x14ac:dyDescent="0.25">
      <c r="A1" s="1" t="s">
        <v>0</v>
      </c>
    </row>
    <row r="3" spans="1:13" ht="18" x14ac:dyDescent="0.25">
      <c r="A3" s="56" t="s">
        <v>1</v>
      </c>
      <c r="B3" s="56"/>
      <c r="C3" s="56"/>
      <c r="D3" s="3"/>
      <c r="M3" s="1" t="s">
        <v>34</v>
      </c>
    </row>
    <row r="4" spans="1:13" x14ac:dyDescent="0.25">
      <c r="A4" s="4"/>
      <c r="B4" s="53" t="s">
        <v>3</v>
      </c>
      <c r="C4" s="53"/>
      <c r="D4" s="53"/>
      <c r="M4" s="1"/>
    </row>
    <row r="5" spans="1:13" x14ac:dyDescent="0.25">
      <c r="A5" s="4"/>
      <c r="B5" s="53" t="s">
        <v>4</v>
      </c>
      <c r="C5" s="53"/>
      <c r="D5" s="53"/>
    </row>
    <row r="6" spans="1:13" x14ac:dyDescent="0.25">
      <c r="A6" s="4"/>
      <c r="B6" s="53" t="s">
        <v>5</v>
      </c>
      <c r="C6" s="53"/>
      <c r="D6" s="53"/>
    </row>
    <row r="7" spans="1:13" x14ac:dyDescent="0.25">
      <c r="A7" s="5"/>
      <c r="B7" s="6">
        <v>3</v>
      </c>
      <c r="C7" s="7" t="s">
        <v>8</v>
      </c>
      <c r="D7" s="8">
        <v>136356.04</v>
      </c>
      <c r="E7" s="2">
        <v>1</v>
      </c>
    </row>
    <row r="8" spans="1:13" x14ac:dyDescent="0.25">
      <c r="A8" s="5"/>
      <c r="B8" s="6">
        <v>6</v>
      </c>
      <c r="C8" s="9" t="s">
        <v>11</v>
      </c>
      <c r="D8" s="10">
        <v>59083.54</v>
      </c>
      <c r="E8" s="2">
        <v>2</v>
      </c>
    </row>
    <row r="9" spans="1:13" x14ac:dyDescent="0.25">
      <c r="A9" s="5"/>
      <c r="B9" s="6">
        <v>8</v>
      </c>
      <c r="C9" s="7" t="s">
        <v>13</v>
      </c>
      <c r="D9" s="8">
        <v>37522.269999999997</v>
      </c>
      <c r="E9" s="2">
        <v>3</v>
      </c>
    </row>
    <row r="10" spans="1:13" x14ac:dyDescent="0.25">
      <c r="A10" s="5"/>
      <c r="B10" s="6">
        <v>9</v>
      </c>
      <c r="C10" s="7" t="s">
        <v>14</v>
      </c>
      <c r="D10" s="8">
        <v>26163.11</v>
      </c>
      <c r="E10" s="2">
        <v>4</v>
      </c>
    </row>
    <row r="11" spans="1:13" x14ac:dyDescent="0.25">
      <c r="A11" s="5"/>
      <c r="B11" s="6">
        <v>10</v>
      </c>
      <c r="C11" s="7" t="s">
        <v>15</v>
      </c>
      <c r="D11" s="8">
        <v>20926.21</v>
      </c>
      <c r="E11" s="2">
        <v>5</v>
      </c>
    </row>
    <row r="13" spans="1:13" ht="18" x14ac:dyDescent="0.25">
      <c r="A13" s="4"/>
      <c r="B13" s="56" t="s">
        <v>16</v>
      </c>
      <c r="C13" s="56"/>
      <c r="D13" s="56"/>
      <c r="M13" s="1" t="s">
        <v>17</v>
      </c>
    </row>
    <row r="14" spans="1:13" x14ac:dyDescent="0.25">
      <c r="A14" s="4"/>
      <c r="B14" s="53" t="s">
        <v>3</v>
      </c>
      <c r="C14" s="53"/>
      <c r="D14" s="53"/>
      <c r="M14" s="1"/>
    </row>
    <row r="15" spans="1:13" x14ac:dyDescent="0.25">
      <c r="A15" s="4"/>
      <c r="B15" s="53" t="s">
        <v>4</v>
      </c>
      <c r="C15" s="53"/>
      <c r="D15" s="53"/>
    </row>
    <row r="16" spans="1:13" x14ac:dyDescent="0.25">
      <c r="A16" s="4"/>
      <c r="B16" s="53" t="s">
        <v>5</v>
      </c>
      <c r="C16" s="53"/>
      <c r="D16" s="53"/>
    </row>
    <row r="17" spans="1:13" x14ac:dyDescent="0.25">
      <c r="A17" s="5"/>
      <c r="B17" s="12">
        <v>4</v>
      </c>
      <c r="C17" s="7" t="s">
        <v>8</v>
      </c>
      <c r="D17" s="13">
        <v>164937.5</v>
      </c>
      <c r="E17" s="2">
        <v>1</v>
      </c>
    </row>
    <row r="18" spans="1:13" x14ac:dyDescent="0.25">
      <c r="A18" s="5"/>
      <c r="B18" s="12">
        <v>6</v>
      </c>
      <c r="C18" s="9" t="s">
        <v>11</v>
      </c>
      <c r="D18" s="14">
        <v>67468.97</v>
      </c>
      <c r="E18" s="2">
        <v>2</v>
      </c>
    </row>
    <row r="19" spans="1:13" x14ac:dyDescent="0.25">
      <c r="A19" s="5"/>
      <c r="B19" s="12">
        <v>8</v>
      </c>
      <c r="C19" t="s">
        <v>13</v>
      </c>
      <c r="D19" s="29">
        <v>57466.75</v>
      </c>
      <c r="E19" s="2">
        <v>3</v>
      </c>
    </row>
    <row r="20" spans="1:13" x14ac:dyDescent="0.25">
      <c r="A20" s="5"/>
      <c r="B20" s="12">
        <v>9</v>
      </c>
      <c r="C20" s="7" t="s">
        <v>14</v>
      </c>
      <c r="D20" s="13">
        <v>42366.84</v>
      </c>
      <c r="E20" s="2">
        <v>4</v>
      </c>
    </row>
    <row r="21" spans="1:13" x14ac:dyDescent="0.25">
      <c r="A21" s="5"/>
      <c r="B21" s="12">
        <v>10</v>
      </c>
      <c r="C21" s="7" t="s">
        <v>15</v>
      </c>
      <c r="D21" s="13">
        <v>30453.37</v>
      </c>
      <c r="E21" s="2">
        <v>5</v>
      </c>
    </row>
    <row r="24" spans="1:13" ht="18" x14ac:dyDescent="0.25">
      <c r="A24" s="56" t="s">
        <v>18</v>
      </c>
      <c r="B24" s="56"/>
      <c r="C24" s="56"/>
      <c r="D24" s="3"/>
      <c r="M24" s="1" t="s">
        <v>19</v>
      </c>
    </row>
    <row r="25" spans="1:13" x14ac:dyDescent="0.25">
      <c r="A25" s="4"/>
      <c r="B25" s="53" t="s">
        <v>3</v>
      </c>
      <c r="C25" s="53"/>
      <c r="D25" s="53"/>
      <c r="M25" s="1"/>
    </row>
    <row r="26" spans="1:13" x14ac:dyDescent="0.25">
      <c r="A26" s="4"/>
      <c r="B26" s="53" t="s">
        <v>4</v>
      </c>
      <c r="C26" s="53"/>
      <c r="D26" s="53"/>
    </row>
    <row r="27" spans="1:13" x14ac:dyDescent="0.25">
      <c r="A27" s="4"/>
      <c r="B27" s="53" t="s">
        <v>5</v>
      </c>
      <c r="C27" s="53"/>
      <c r="D27" s="53"/>
    </row>
    <row r="28" spans="1:13" x14ac:dyDescent="0.25">
      <c r="A28" s="5"/>
      <c r="B28" s="12">
        <v>4</v>
      </c>
      <c r="C28" s="7" t="s">
        <v>8</v>
      </c>
      <c r="D28" s="13">
        <v>119996.33</v>
      </c>
      <c r="E28" s="2">
        <v>1</v>
      </c>
    </row>
    <row r="29" spans="1:13" x14ac:dyDescent="0.25">
      <c r="A29" s="5"/>
      <c r="B29" s="12">
        <v>6</v>
      </c>
      <c r="C29" s="9" t="s">
        <v>11</v>
      </c>
      <c r="D29" s="14">
        <v>52933.17</v>
      </c>
      <c r="E29" s="2">
        <v>2</v>
      </c>
    </row>
    <row r="30" spans="1:13" x14ac:dyDescent="0.25">
      <c r="A30" s="5"/>
      <c r="B30" s="12">
        <v>8</v>
      </c>
      <c r="C30" s="7" t="s">
        <v>13</v>
      </c>
      <c r="D30" s="13">
        <v>39041.57</v>
      </c>
      <c r="E30" s="2">
        <v>3</v>
      </c>
    </row>
    <row r="31" spans="1:13" x14ac:dyDescent="0.25">
      <c r="A31" s="5"/>
      <c r="B31" s="12">
        <v>9</v>
      </c>
      <c r="C31" s="7" t="s">
        <v>14</v>
      </c>
      <c r="D31" s="13">
        <v>32159.4</v>
      </c>
      <c r="E31" s="2">
        <v>4</v>
      </c>
    </row>
    <row r="32" spans="1:13" x14ac:dyDescent="0.25">
      <c r="A32" s="5"/>
      <c r="B32" s="12">
        <v>10</v>
      </c>
      <c r="C32" s="7" t="s">
        <v>15</v>
      </c>
      <c r="D32" s="13">
        <v>20193.04</v>
      </c>
      <c r="E32" s="2">
        <v>5</v>
      </c>
    </row>
    <row r="33" spans="1:13" x14ac:dyDescent="0.25">
      <c r="A33" s="5"/>
    </row>
    <row r="36" spans="1:13" ht="18" x14ac:dyDescent="0.25">
      <c r="A36" s="56" t="s">
        <v>20</v>
      </c>
      <c r="B36" s="56"/>
      <c r="C36" s="56"/>
      <c r="D36" s="56"/>
      <c r="E36" s="15"/>
      <c r="F36" s="2"/>
      <c r="M36" s="1" t="s">
        <v>21</v>
      </c>
    </row>
    <row r="37" spans="1:13" x14ac:dyDescent="0.25">
      <c r="A37" s="4"/>
      <c r="B37" s="53" t="s">
        <v>3</v>
      </c>
      <c r="C37" s="53"/>
      <c r="D37" s="53"/>
      <c r="E37" s="53"/>
      <c r="F37" s="16"/>
      <c r="G37" s="17"/>
    </row>
    <row r="38" spans="1:13" x14ac:dyDescent="0.25">
      <c r="A38" s="4"/>
      <c r="B38" s="53" t="s">
        <v>4</v>
      </c>
      <c r="C38" s="53"/>
      <c r="D38" s="53"/>
      <c r="E38" s="30"/>
      <c r="F38" s="16"/>
      <c r="G38" s="17"/>
    </row>
    <row r="39" spans="1:13" x14ac:dyDescent="0.25">
      <c r="A39" s="4"/>
      <c r="B39" s="53" t="s">
        <v>5</v>
      </c>
      <c r="C39" s="53"/>
      <c r="D39" s="53"/>
      <c r="E39" s="53"/>
      <c r="F39" s="2"/>
    </row>
    <row r="40" spans="1:13" x14ac:dyDescent="0.25">
      <c r="B40" s="18" t="s">
        <v>22</v>
      </c>
      <c r="C40" s="18" t="s">
        <v>23</v>
      </c>
      <c r="D40" s="54" t="s">
        <v>24</v>
      </c>
      <c r="E40" s="55"/>
      <c r="F40" s="19"/>
    </row>
    <row r="41" spans="1:13" s="2" customFormat="1" x14ac:dyDescent="0.25">
      <c r="A41"/>
      <c r="B41">
        <v>10</v>
      </c>
      <c r="C41" s="9" t="s">
        <v>11</v>
      </c>
      <c r="D41" s="14">
        <v>5526.06</v>
      </c>
      <c r="E41" s="2">
        <v>5</v>
      </c>
      <c r="F41"/>
      <c r="G41"/>
      <c r="H41"/>
      <c r="I41"/>
      <c r="J41"/>
      <c r="K41"/>
      <c r="L41"/>
      <c r="M41"/>
    </row>
    <row r="42" spans="1:13" s="2" customFormat="1" x14ac:dyDescent="0.25">
      <c r="A42"/>
      <c r="B42">
        <v>9</v>
      </c>
      <c r="C42" s="7" t="s">
        <v>14</v>
      </c>
      <c r="D42" s="13">
        <v>7563.36</v>
      </c>
      <c r="E42" s="2">
        <v>4</v>
      </c>
      <c r="F42"/>
      <c r="G42"/>
      <c r="H42"/>
      <c r="I42"/>
      <c r="J42"/>
      <c r="K42"/>
      <c r="L42"/>
      <c r="M42"/>
    </row>
    <row r="43" spans="1:13" s="2" customFormat="1" x14ac:dyDescent="0.25">
      <c r="A43"/>
      <c r="B43">
        <v>8</v>
      </c>
      <c r="C43" s="7" t="s">
        <v>15</v>
      </c>
      <c r="D43" s="13">
        <v>8173.57</v>
      </c>
      <c r="E43" s="2">
        <v>3</v>
      </c>
      <c r="F43"/>
      <c r="G43"/>
      <c r="H43"/>
      <c r="I43"/>
      <c r="J43"/>
      <c r="K43"/>
      <c r="L43"/>
      <c r="M43"/>
    </row>
    <row r="44" spans="1:13" s="2" customFormat="1" x14ac:dyDescent="0.25">
      <c r="A44"/>
      <c r="B44">
        <v>6</v>
      </c>
      <c r="C44" s="7" t="s">
        <v>13</v>
      </c>
      <c r="D44" s="13">
        <v>16959.18</v>
      </c>
      <c r="E44" s="2">
        <v>2</v>
      </c>
      <c r="F44"/>
      <c r="G44"/>
      <c r="H44"/>
      <c r="I44"/>
      <c r="J44"/>
      <c r="K44"/>
      <c r="L44"/>
      <c r="M44"/>
    </row>
    <row r="45" spans="1:13" s="2" customFormat="1" x14ac:dyDescent="0.25">
      <c r="A45"/>
      <c r="B45">
        <v>4</v>
      </c>
      <c r="C45" s="7" t="s">
        <v>8</v>
      </c>
      <c r="D45" s="13">
        <v>20794.189999999999</v>
      </c>
      <c r="E45" s="2">
        <v>1</v>
      </c>
      <c r="F45"/>
      <c r="G45"/>
      <c r="H45"/>
      <c r="I45"/>
      <c r="J45"/>
      <c r="K45"/>
      <c r="L45"/>
      <c r="M45"/>
    </row>
    <row r="46" spans="1:13" s="2" customFormat="1" x14ac:dyDescent="0.25">
      <c r="A46"/>
      <c r="B46"/>
      <c r="D46" s="13"/>
      <c r="F46"/>
      <c r="G46"/>
      <c r="H46"/>
      <c r="I46"/>
      <c r="J46"/>
      <c r="K46"/>
      <c r="L46"/>
      <c r="M46"/>
    </row>
    <row r="47" spans="1:13" s="2" customFormat="1" x14ac:dyDescent="0.25">
      <c r="A47"/>
      <c r="B47"/>
      <c r="C47" s="11"/>
      <c r="D47" s="13"/>
      <c r="F47"/>
      <c r="G47"/>
      <c r="H47"/>
      <c r="I47"/>
      <c r="J47"/>
      <c r="K47"/>
      <c r="L47"/>
      <c r="M47"/>
    </row>
    <row r="48" spans="1:13" s="2" customFormat="1" x14ac:dyDescent="0.25">
      <c r="A48"/>
      <c r="B48"/>
      <c r="C48"/>
      <c r="D48"/>
      <c r="F48"/>
      <c r="G48"/>
      <c r="H48"/>
      <c r="I48"/>
      <c r="J48"/>
      <c r="K48"/>
      <c r="L48"/>
      <c r="M48"/>
    </row>
    <row r="49" spans="3:3" x14ac:dyDescent="0.25">
      <c r="C49" s="2"/>
    </row>
    <row r="50" spans="3:3" x14ac:dyDescent="0.25">
      <c r="C50" s="9"/>
    </row>
    <row r="51" spans="3:3" x14ac:dyDescent="0.25">
      <c r="C51" s="7"/>
    </row>
    <row r="52" spans="3:3" x14ac:dyDescent="0.25">
      <c r="C52" s="7"/>
    </row>
    <row r="53" spans="3:3" x14ac:dyDescent="0.25">
      <c r="C53" s="7"/>
    </row>
    <row r="54" spans="3:3" x14ac:dyDescent="0.25">
      <c r="C54" s="7"/>
    </row>
  </sheetData>
  <mergeCells count="17">
    <mergeCell ref="B27:D27"/>
    <mergeCell ref="A3:C3"/>
    <mergeCell ref="B4:D4"/>
    <mergeCell ref="B5:D5"/>
    <mergeCell ref="B6:D6"/>
    <mergeCell ref="B13:D13"/>
    <mergeCell ref="B14:D14"/>
    <mergeCell ref="B15:D15"/>
    <mergeCell ref="B16:D16"/>
    <mergeCell ref="A24:C24"/>
    <mergeCell ref="B25:D25"/>
    <mergeCell ref="B26:D26"/>
    <mergeCell ref="A36:D36"/>
    <mergeCell ref="B37:E37"/>
    <mergeCell ref="B38:D38"/>
    <mergeCell ref="B39:E39"/>
    <mergeCell ref="D40:E40"/>
  </mergeCells>
  <hyperlinks>
    <hyperlink ref="A1" r:id="rId1"/>
    <hyperlink ref="M13" r:id="rId2"/>
    <hyperlink ref="M36" r:id="rId3"/>
    <hyperlink ref="M24" r:id="rId4"/>
    <hyperlink ref="M3" r:id="rId5"/>
  </hyperlinks>
  <pageMargins left="0.7" right="0.7" top="0.75" bottom="0.75" header="0.3" footer="0.3"/>
  <pageSetup paperSize="9" orientation="portrait" horizontalDpi="4294967293" verticalDpi="0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2026 March</vt:lpstr>
      <vt:lpstr>March 2026</vt:lpstr>
      <vt:lpstr>9-2025 vs 3-2026</vt:lpstr>
      <vt:lpstr>3-2025 vs 3-2026</vt:lpstr>
      <vt:lpstr>2025 September</vt:lpstr>
      <vt:lpstr>September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Dominic P. San Pedro</dc:creator>
  <cp:lastModifiedBy>Ronnie Dominic P. San Pedro</cp:lastModifiedBy>
  <dcterms:created xsi:type="dcterms:W3CDTF">2026-08-11T02:27:08Z</dcterms:created>
  <dcterms:modified xsi:type="dcterms:W3CDTF">2026-08-12T02:32:02Z</dcterms:modified>
</cp:coreProperties>
</file>